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Cleaned_Dat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"/>
    <numFmt numFmtId="167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6"/>
    </font>
    <font>
      <name val="Segoe UI"/>
      <b val="1"/>
      <color rgb="00595959"/>
      <sz val="9"/>
    </font>
    <font>
      <name val="Segoe UI"/>
      <b val="1"/>
      <color rgb="001B365D"/>
      <sz val="18"/>
    </font>
    <font>
      <name val="Segoe UI"/>
      <b val="1"/>
      <color rgb="002E75B6"/>
      <sz val="18"/>
    </font>
    <font>
      <name val="Segoe UI"/>
      <b val="1"/>
      <color rgb="00333333"/>
      <sz val="18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B365D"/>
      <sz val="10"/>
    </font>
    <font>
      <name val="Segoe UI"/>
      <b val="1"/>
      <color rgb="0000206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E9EEF4"/>
        <bgColor rgb="00E9EEF4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/>
    </xf>
    <xf numFmtId="0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10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Sales Representative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'Executive_Dashboard'!C10</f>
            </strRef>
          </tx>
          <spPr>
            <a:ln>
              <a:prstDash val="solid"/>
            </a:ln>
          </spPr>
          <cat>
            <numRef>
              <f>'Executive_Dashboard'!$B$11:$B$15</f>
            </numRef>
          </cat>
          <val>
            <numRef>
              <f>'Executive_Dashboard'!$C$11:$C$15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'Executive_Dashboard'!G10</f>
            </strRef>
          </tx>
          <spPr>
            <a:ln>
              <a:prstDash val="solid"/>
            </a:ln>
          </spPr>
          <cat>
            <numRef>
              <f>'Executive_Dashboard'!$F$11:$F$14</f>
            </numRef>
          </cat>
          <val>
            <numRef>
              <f>'Executive_Dashboard'!$G$11:$G$14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16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70" customWidth="1" min="3" max="3"/>
    <col width="170" customWidth="1" min="4" max="4"/>
    <col width="29" customWidth="1" min="5" max="5"/>
    <col width="14" customWidth="1" min="6" max="6"/>
    <col width="63" customWidth="1" min="7" max="7"/>
    <col width="63" customWidth="1" min="8" max="8"/>
    <col width="14" customWidth="1" min="9" max="9"/>
    <col width="14" customWidth="1" min="10" max="10"/>
    <col width="14" customWidth="1" min="11" max="11"/>
  </cols>
  <sheetData>
    <row r="1"/>
    <row r="2">
      <c r="B2" s="1" t="inlineStr">
        <is>
          <t>EXECUTIVE SALES &amp; PROFITABILITY DASHBOARD (FY2023)</t>
        </is>
      </c>
    </row>
    <row r="3"/>
    <row r="4"/>
    <row r="5">
      <c r="B5" s="2" t="inlineStr">
        <is>
          <t>TOTAL REVENUE</t>
        </is>
      </c>
      <c r="E5" s="2" t="inlineStr">
        <is>
          <t>TOTAL NET PROFIT</t>
        </is>
      </c>
      <c r="H5" s="2" t="inlineStr">
        <is>
          <t>TOTAL UNITS SOLD</t>
        </is>
      </c>
    </row>
    <row r="6">
      <c r="B6" s="3">
        <f>SUM(Cleaned_Data!H2:H101)</f>
        <v/>
      </c>
      <c r="E6" s="4">
        <f>SUM(Cleaned_Data!J2:J101)</f>
        <v/>
      </c>
      <c r="H6" s="5">
        <f>SUM(Cleaned_Data!F2:F101)</f>
        <v/>
      </c>
    </row>
    <row r="7"/>
    <row r="8"/>
    <row r="9"/>
    <row r="10">
      <c r="B10" s="6" t="inlineStr">
        <is>
          <t>Sales Rep</t>
        </is>
      </c>
      <c r="C10" s="6" t="inlineStr">
        <is>
          <t>Total Revenue</t>
        </is>
      </c>
      <c r="D10" s="6" t="inlineStr">
        <is>
          <t>Avg Profit Margin</t>
        </is>
      </c>
      <c r="F10" s="6" t="inlineStr">
        <is>
          <t>Region</t>
        </is>
      </c>
      <c r="G10" s="6" t="inlineStr">
        <is>
          <t>Revenue</t>
        </is>
      </c>
      <c r="H10" s="6" t="inlineStr">
        <is>
          <t>Units Sold</t>
        </is>
      </c>
    </row>
    <row r="11">
      <c r="B11" s="7" t="inlineStr">
        <is>
          <t>Isabel Cross</t>
        </is>
      </c>
      <c r="C11" s="8">
        <f>SUMIFS(Cleaned_Data!H$2:H$101, Cleaned_Data!C$2:C$101, B11)</f>
        <v/>
      </c>
      <c r="D11" s="9">
        <f>AVERAGEIFS(Cleaned_Data!I$2:I$101, Cleaned_Data!C$2:C$101, B11)</f>
        <v/>
      </c>
      <c r="F11" s="7" t="inlineStr">
        <is>
          <t>North</t>
        </is>
      </c>
      <c r="G11" s="8">
        <f>SUMIFS(Cleaned_Data!H$2:H$101, Cleaned_Data!E$2:E$101, F11)</f>
        <v/>
      </c>
      <c r="H11" s="10">
        <f>SUMIFS(Cleaned_Data!F$2:F$101, Cleaned_Data!E$2:E$101, F11)</f>
        <v/>
      </c>
    </row>
    <row r="12">
      <c r="B12" s="7" t="inlineStr">
        <is>
          <t>Cecilia Manning</t>
        </is>
      </c>
      <c r="C12" s="8">
        <f>SUMIFS(Cleaned_Data!H$2:H$101, Cleaned_Data!C$2:C$101, B12)</f>
        <v/>
      </c>
      <c r="D12" s="9">
        <f>AVERAGEIFS(Cleaned_Data!I$2:I$101, Cleaned_Data!C$2:C$101, B12)</f>
        <v/>
      </c>
      <c r="F12" s="7" t="inlineStr">
        <is>
          <t>South</t>
        </is>
      </c>
      <c r="G12" s="8">
        <f>SUMIFS(Cleaned_Data!H$2:H$101, Cleaned_Data!E$2:E$101, F12)</f>
        <v/>
      </c>
      <c r="H12" s="10">
        <f>SUMIFS(Cleaned_Data!F$2:F$101, Cleaned_Data!E$2:E$101, F12)</f>
        <v/>
      </c>
    </row>
    <row r="13">
      <c r="B13" s="7" t="inlineStr">
        <is>
          <t>Shari Silva</t>
        </is>
      </c>
      <c r="C13" s="8">
        <f>SUMIFS(Cleaned_Data!H$2:H$101, Cleaned_Data!C$2:C$101, B13)</f>
        <v/>
      </c>
      <c r="D13" s="9">
        <f>AVERAGEIFS(Cleaned_Data!I$2:I$101, Cleaned_Data!C$2:C$101, B13)</f>
        <v/>
      </c>
      <c r="F13" s="7" t="inlineStr">
        <is>
          <t>East</t>
        </is>
      </c>
      <c r="G13" s="8">
        <f>SUMIFS(Cleaned_Data!H$2:H$101, Cleaned_Data!E$2:E$101, F13)</f>
        <v/>
      </c>
      <c r="H13" s="10">
        <f>SUMIFS(Cleaned_Data!F$2:F$101, Cleaned_Data!E$2:E$101, F13)</f>
        <v/>
      </c>
    </row>
    <row r="14">
      <c r="B14" s="7" t="inlineStr">
        <is>
          <t>Albert Cook</t>
        </is>
      </c>
      <c r="C14" s="8">
        <f>SUMIFS(Cleaned_Data!H$2:H$101, Cleaned_Data!C$2:C$101, B14)</f>
        <v/>
      </c>
      <c r="D14" s="9">
        <f>AVERAGEIFS(Cleaned_Data!I$2:I$101, Cleaned_Data!C$2:C$101, B14)</f>
        <v/>
      </c>
      <c r="F14" s="7" t="inlineStr">
        <is>
          <t>West</t>
        </is>
      </c>
      <c r="G14" s="8">
        <f>SUMIFS(Cleaned_Data!H$2:H$101, Cleaned_Data!E$2:E$101, F14)</f>
        <v/>
      </c>
      <c r="H14" s="10">
        <f>SUMIFS(Cleaned_Data!F$2:F$101, Cleaned_Data!E$2:E$101, F14)</f>
        <v/>
      </c>
    </row>
    <row r="15">
      <c r="B15" s="7" t="inlineStr">
        <is>
          <t>Brooks Vance</t>
        </is>
      </c>
      <c r="C15" s="8">
        <f>SUMIFS(Cleaned_Data!H$2:H$101, Cleaned_Data!C$2:C$101, B15)</f>
        <v/>
      </c>
      <c r="D15" s="9">
        <f>AVERAGEIFS(Cleaned_Data!I$2:I$101, Cleaned_Data!C$2:C$101, B15)</f>
        <v/>
      </c>
    </row>
    <row r="16"/>
    <row r="17">
      <c r="B17" s="11" t="inlineStr">
        <is>
          <t>FILTER BY REGION:</t>
        </is>
      </c>
      <c r="C17" s="12" t="inlineStr">
        <is>
          <t>All</t>
        </is>
      </c>
    </row>
    <row r="18"/>
    <row r="19">
      <c r="B19" s="13" t="inlineStr">
        <is>
          <t>Product Tier</t>
        </is>
      </c>
      <c r="C19" s="13" t="inlineStr">
        <is>
          <t>Filtered Units</t>
        </is>
      </c>
      <c r="D19" s="13" t="inlineStr">
        <is>
          <t>Filtered Revenue</t>
        </is>
      </c>
    </row>
    <row r="20">
      <c r="B20" s="7" t="inlineStr">
        <is>
          <t>Enterprise Suite</t>
        </is>
      </c>
      <c r="C20" s="10">
        <f>IF(C$17="All", SUMIFS(Cleaned_Data!F$2:F$101, Cleaned_Data!D$2:D$101, B20), SUMIFS(Cleaned_Data!F$2:F$101, Cleaned_Data!D$2:D$101, B20, Cleaned_Data!E$2:E$101, C$17))</f>
        <v/>
      </c>
      <c r="D20" s="8">
        <f>IF(C$17="All", SUMIFS(Cleaned_Data!H$2:H$101, Cleaned_Data!D$2:D$101, B20), SUMIFS(Cleaned_Data!H$2:H$101, Cleaned_Data!D$2:D$101, B20, Cleaned_Data!E$2:E$101, C$17))</f>
        <v/>
      </c>
    </row>
    <row r="21">
      <c r="B21" s="7" t="inlineStr">
        <is>
          <t>Pro Cloud Plan</t>
        </is>
      </c>
      <c r="C21" s="10">
        <f>IF(C$17="All", SUMIFS(Cleaned_Data!F$2:F$101, Cleaned_Data!D$2:D$101, B21), SUMIFS(Cleaned_Data!F$2:F$101, Cleaned_Data!D$2:D$101, B21, Cleaned_Data!E$2:E$101, C$17))</f>
        <v/>
      </c>
      <c r="D21" s="8">
        <f>IF(C$17="All", SUMIFS(Cleaned_Data!H$2:H$101, Cleaned_Data!D$2:D$101, B21), SUMIFS(Cleaned_Data!H$2:H$101, Cleaned_Data!D$2:D$101, B21, Cleaned_Data!E$2:E$101, C$17))</f>
        <v/>
      </c>
    </row>
    <row r="22">
      <c r="B22" s="7" t="inlineStr">
        <is>
          <t>Hardware Node</t>
        </is>
      </c>
      <c r="C22" s="10">
        <f>IF(C$17="All", SUMIFS(Cleaned_Data!F$2:F$101, Cleaned_Data!D$2:D$101, B22), SUMIFS(Cleaned_Data!F$2:F$101, Cleaned_Data!D$2:D$101, B22, Cleaned_Data!E$2:E$101, C$17))</f>
        <v/>
      </c>
      <c r="D22" s="8">
        <f>IF(C$17="All", SUMIFS(Cleaned_Data!H$2:H$101, Cleaned_Data!D$2:D$101, B22), SUMIFS(Cleaned_Data!H$2:H$101, Cleaned_Data!D$2:D$101, B22, Cleaned_Data!E$2:E$101, C$17))</f>
        <v/>
      </c>
    </row>
    <row r="23">
      <c r="B23" s="7" t="inlineStr">
        <is>
          <t>Consulting Package</t>
        </is>
      </c>
      <c r="C23" s="10">
        <f>IF(C$17="All", SUMIFS(Cleaned_Data!F$2:F$101, Cleaned_Data!D$2:D$101, B23), SUMIFS(Cleaned_Data!F$2:F$101, Cleaned_Data!D$2:D$101, B23, Cleaned_Data!E$2:E$101, C$17))</f>
        <v/>
      </c>
      <c r="D23" s="8">
        <f>IF(C$17="All", SUMIFS(Cleaned_Data!H$2:H$101, Cleaned_Data!D$2:D$101, B23), SUMIFS(Cleaned_Data!H$2:H$101, Cleaned_Data!D$2:D$101, B23, Cleaned_Data!E$2:E$101, C$17))</f>
        <v/>
      </c>
    </row>
  </sheetData>
  <mergeCells count="7">
    <mergeCell ref="E6:G7"/>
    <mergeCell ref="H6:J7"/>
    <mergeCell ref="B5:D5"/>
    <mergeCell ref="B6:D7"/>
    <mergeCell ref="E5:G5"/>
    <mergeCell ref="H5:J5"/>
    <mergeCell ref="B2:K3"/>
  </mergeCells>
  <dataValidations count="1">
    <dataValidation sqref="C17" showDropDown="0" showInputMessage="0" showErrorMessage="0" allowBlank="1" type="list">
      <formula1>"All,North,South,East,West"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21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</cols>
  <sheetData>
    <row r="1">
      <c r="A1" s="14" t="inlineStr">
        <is>
          <t>Transaction_ID</t>
        </is>
      </c>
      <c r="B1" s="14" t="inlineStr">
        <is>
          <t>Date</t>
        </is>
      </c>
      <c r="C1" s="14" t="inlineStr">
        <is>
          <t>Sales_Rep</t>
        </is>
      </c>
      <c r="D1" s="14" t="inlineStr">
        <is>
          <t>Product</t>
        </is>
      </c>
      <c r="E1" s="14" t="inlineStr">
        <is>
          <t>Region</t>
        </is>
      </c>
      <c r="F1" s="14" t="inlineStr">
        <is>
          <t>Units_Sold</t>
        </is>
      </c>
      <c r="G1" s="14" t="inlineStr">
        <is>
          <t>Unit_Price</t>
        </is>
      </c>
      <c r="H1" s="14" t="inlineStr">
        <is>
          <t>Total_Revenue</t>
        </is>
      </c>
      <c r="I1" s="14" t="inlineStr">
        <is>
          <t>Profit_Margin_%</t>
        </is>
      </c>
      <c r="J1" s="14" t="inlineStr">
        <is>
          <t>Net_Profit</t>
        </is>
      </c>
    </row>
    <row r="2">
      <c r="A2" t="inlineStr">
        <is>
          <t>TXN-1001</t>
        </is>
      </c>
      <c r="B2" s="15" t="n">
        <v>45254</v>
      </c>
      <c r="C2" t="inlineStr">
        <is>
          <t>Isabel Cross</t>
        </is>
      </c>
      <c r="D2" t="inlineStr">
        <is>
          <t>Enterprise Suite</t>
        </is>
      </c>
      <c r="E2" t="inlineStr">
        <is>
          <t>East</t>
        </is>
      </c>
      <c r="F2" s="16" t="n">
        <v>20</v>
      </c>
      <c r="G2" s="17" t="n">
        <v>300</v>
      </c>
      <c r="H2" s="17">
        <f>F2*G2</f>
        <v/>
      </c>
      <c r="I2" s="18" t="n">
        <v>0.25</v>
      </c>
      <c r="J2" s="17">
        <f>H2*I2</f>
        <v/>
      </c>
    </row>
    <row r="3">
      <c r="A3" t="inlineStr">
        <is>
          <t>TXN-1002</t>
        </is>
      </c>
      <c r="B3" s="15" t="n">
        <v>44979</v>
      </c>
      <c r="C3" t="inlineStr">
        <is>
          <t>Brooks Vance</t>
        </is>
      </c>
      <c r="D3" t="inlineStr">
        <is>
          <t>Enterprise Suite</t>
        </is>
      </c>
      <c r="E3" t="inlineStr">
        <is>
          <t>West</t>
        </is>
      </c>
      <c r="F3" s="16" t="n">
        <v>7</v>
      </c>
      <c r="G3" s="17" t="n">
        <v>150</v>
      </c>
      <c r="H3" s="17">
        <f>F3*G3</f>
        <v/>
      </c>
      <c r="I3" s="18" t="n">
        <v>0.2</v>
      </c>
      <c r="J3" s="17">
        <f>H3*I3</f>
        <v/>
      </c>
    </row>
    <row r="4">
      <c r="A4" t="inlineStr">
        <is>
          <t>TXN-1003</t>
        </is>
      </c>
      <c r="B4" s="15" t="n">
        <v>45038</v>
      </c>
      <c r="C4" t="inlineStr">
        <is>
          <t>Cecilia Manning</t>
        </is>
      </c>
      <c r="D4" t="inlineStr">
        <is>
          <t>Enterprise Suite</t>
        </is>
      </c>
      <c r="E4" t="inlineStr">
        <is>
          <t>South</t>
        </is>
      </c>
      <c r="F4" s="16" t="n">
        <v>50</v>
      </c>
      <c r="G4" s="17" t="n">
        <v>1200</v>
      </c>
      <c r="H4" s="17">
        <f>F4*G4</f>
        <v/>
      </c>
      <c r="I4" s="18" t="n">
        <v>0.25</v>
      </c>
      <c r="J4" s="17">
        <f>H4*I4</f>
        <v/>
      </c>
    </row>
    <row r="5">
      <c r="A5" t="inlineStr">
        <is>
          <t>TXN-1004</t>
        </is>
      </c>
      <c r="B5" s="15" t="n">
        <v>45156</v>
      </c>
      <c r="C5" t="inlineStr">
        <is>
          <t>Brooks Vance</t>
        </is>
      </c>
      <c r="D5" t="inlineStr">
        <is>
          <t>Hardware Node</t>
        </is>
      </c>
      <c r="E5" t="inlineStr">
        <is>
          <t>North</t>
        </is>
      </c>
      <c r="F5" s="16" t="n">
        <v>15</v>
      </c>
      <c r="G5" s="17" t="n">
        <v>1200</v>
      </c>
      <c r="H5" s="17">
        <f>F5*G5</f>
        <v/>
      </c>
      <c r="I5" s="18" t="n">
        <v>0.3</v>
      </c>
      <c r="J5" s="17">
        <f>H5*I5</f>
        <v/>
      </c>
    </row>
    <row r="6">
      <c r="A6" t="inlineStr">
        <is>
          <t>TXN-1005</t>
        </is>
      </c>
      <c r="B6" s="15" t="n">
        <v>45069</v>
      </c>
      <c r="C6" t="inlineStr">
        <is>
          <t>Cecilia Manning</t>
        </is>
      </c>
      <c r="D6" t="inlineStr">
        <is>
          <t>Pro Cloud Plan</t>
        </is>
      </c>
      <c r="E6" t="inlineStr">
        <is>
          <t>East</t>
        </is>
      </c>
      <c r="F6" s="16" t="n">
        <v>11</v>
      </c>
      <c r="G6" s="17" t="n">
        <v>150</v>
      </c>
      <c r="H6" s="17">
        <f>F6*G6</f>
        <v/>
      </c>
      <c r="I6" s="18" t="n">
        <v>0.35</v>
      </c>
      <c r="J6" s="17">
        <f>H6*I6</f>
        <v/>
      </c>
    </row>
    <row r="7">
      <c r="A7" t="inlineStr">
        <is>
          <t>TXN-1006</t>
        </is>
      </c>
      <c r="B7" s="15" t="n">
        <v>44976</v>
      </c>
      <c r="C7" t="inlineStr">
        <is>
          <t>Shari Silva</t>
        </is>
      </c>
      <c r="D7" t="inlineStr">
        <is>
          <t>Hardware Node</t>
        </is>
      </c>
      <c r="E7" t="inlineStr">
        <is>
          <t>East</t>
        </is>
      </c>
      <c r="F7" s="16" t="n">
        <v>7</v>
      </c>
      <c r="G7" s="17" t="n">
        <v>1200</v>
      </c>
      <c r="H7" s="17">
        <f>F7*G7</f>
        <v/>
      </c>
      <c r="I7" s="18" t="n">
        <v>0.2</v>
      </c>
      <c r="J7" s="17">
        <f>H7*I7</f>
        <v/>
      </c>
    </row>
    <row r="8">
      <c r="A8" t="inlineStr">
        <is>
          <t>TXN-1007</t>
        </is>
      </c>
      <c r="B8" s="15" t="n">
        <v>45120</v>
      </c>
      <c r="C8" t="inlineStr">
        <is>
          <t>Isabel Cross</t>
        </is>
      </c>
      <c r="D8" t="inlineStr">
        <is>
          <t>Hardware Node</t>
        </is>
      </c>
      <c r="E8" t="inlineStr">
        <is>
          <t>East</t>
        </is>
      </c>
      <c r="F8" s="16" t="n">
        <v>41</v>
      </c>
      <c r="G8" s="17" t="n">
        <v>300</v>
      </c>
      <c r="H8" s="17">
        <f>F8*G8</f>
        <v/>
      </c>
      <c r="I8" s="18" t="n">
        <v>0.2</v>
      </c>
      <c r="J8" s="17">
        <f>H8*I8</f>
        <v/>
      </c>
    </row>
    <row r="9">
      <c r="A9" t="inlineStr">
        <is>
          <t>TXN-1008</t>
        </is>
      </c>
      <c r="B9" s="15" t="n">
        <v>44950</v>
      </c>
      <c r="C9" t="inlineStr">
        <is>
          <t>Cecilia Manning</t>
        </is>
      </c>
      <c r="D9" t="inlineStr">
        <is>
          <t>Hardware Node</t>
        </is>
      </c>
      <c r="E9" t="inlineStr">
        <is>
          <t>North</t>
        </is>
      </c>
      <c r="F9" s="16" t="n">
        <v>19</v>
      </c>
      <c r="G9" s="17" t="n">
        <v>150</v>
      </c>
      <c r="H9" s="17">
        <f>F9*G9</f>
        <v/>
      </c>
      <c r="I9" s="18" t="n">
        <v>0.35</v>
      </c>
      <c r="J9" s="17">
        <f>H9*I9</f>
        <v/>
      </c>
    </row>
    <row r="10">
      <c r="A10" t="inlineStr">
        <is>
          <t>TXN-1009</t>
        </is>
      </c>
      <c r="B10" s="15" t="n">
        <v>45069</v>
      </c>
      <c r="C10" t="inlineStr">
        <is>
          <t>Albert Cook</t>
        </is>
      </c>
      <c r="D10" t="inlineStr">
        <is>
          <t>Hardware Node</t>
        </is>
      </c>
      <c r="E10" t="inlineStr">
        <is>
          <t>South</t>
        </is>
      </c>
      <c r="F10" s="16" t="n">
        <v>28</v>
      </c>
      <c r="G10" s="17" t="n">
        <v>500</v>
      </c>
      <c r="H10" s="17">
        <f>F10*G10</f>
        <v/>
      </c>
      <c r="I10" s="18" t="n">
        <v>0.25</v>
      </c>
      <c r="J10" s="17">
        <f>H10*I10</f>
        <v/>
      </c>
    </row>
    <row r="11">
      <c r="A11" t="inlineStr">
        <is>
          <t>TXN-1010</t>
        </is>
      </c>
      <c r="B11" s="15" t="n">
        <v>45270</v>
      </c>
      <c r="C11" t="inlineStr">
        <is>
          <t>Shari Silva</t>
        </is>
      </c>
      <c r="D11" t="inlineStr">
        <is>
          <t>Enterprise Suite</t>
        </is>
      </c>
      <c r="E11" t="inlineStr">
        <is>
          <t>South</t>
        </is>
      </c>
      <c r="F11" s="16" t="n">
        <v>39</v>
      </c>
      <c r="G11" s="17" t="n">
        <v>300</v>
      </c>
      <c r="H11" s="17">
        <f>F11*G11</f>
        <v/>
      </c>
      <c r="I11" s="18" t="n">
        <v>0.25</v>
      </c>
      <c r="J11" s="17">
        <f>H11*I11</f>
        <v/>
      </c>
    </row>
    <row r="12">
      <c r="A12" t="inlineStr">
        <is>
          <t>TXN-1011</t>
        </is>
      </c>
      <c r="B12" s="15" t="n">
        <v>45163</v>
      </c>
      <c r="C12" t="inlineStr">
        <is>
          <t>Albert Cook</t>
        </is>
      </c>
      <c r="D12" t="inlineStr">
        <is>
          <t>Hardware Node</t>
        </is>
      </c>
      <c r="E12" t="inlineStr">
        <is>
          <t>South</t>
        </is>
      </c>
      <c r="F12" s="16" t="n">
        <v>48</v>
      </c>
      <c r="G12" s="17" t="n">
        <v>500</v>
      </c>
      <c r="H12" s="17">
        <f>F12*G12</f>
        <v/>
      </c>
      <c r="I12" s="18" t="n">
        <v>0.2</v>
      </c>
      <c r="J12" s="17">
        <f>H12*I12</f>
        <v/>
      </c>
    </row>
    <row r="13">
      <c r="A13" t="inlineStr">
        <is>
          <t>TXN-1012</t>
        </is>
      </c>
      <c r="B13" s="15" t="n">
        <v>45044</v>
      </c>
      <c r="C13" t="inlineStr">
        <is>
          <t>Isabel Cross</t>
        </is>
      </c>
      <c r="D13" t="inlineStr">
        <is>
          <t>Hardware Node</t>
        </is>
      </c>
      <c r="E13" t="inlineStr">
        <is>
          <t>West</t>
        </is>
      </c>
      <c r="F13" s="16" t="n">
        <v>22</v>
      </c>
      <c r="G13" s="17" t="n">
        <v>150</v>
      </c>
      <c r="H13" s="17">
        <f>F13*G13</f>
        <v/>
      </c>
      <c r="I13" s="18" t="n">
        <v>0.25</v>
      </c>
      <c r="J13" s="17">
        <f>H13*I13</f>
        <v/>
      </c>
    </row>
    <row r="14">
      <c r="A14" t="inlineStr">
        <is>
          <t>TXN-1013</t>
        </is>
      </c>
      <c r="B14" s="15" t="n">
        <v>45217</v>
      </c>
      <c r="C14" t="inlineStr">
        <is>
          <t>Shari Silva</t>
        </is>
      </c>
      <c r="D14" t="inlineStr">
        <is>
          <t>Pro Cloud Plan</t>
        </is>
      </c>
      <c r="E14" t="inlineStr">
        <is>
          <t>West</t>
        </is>
      </c>
      <c r="F14" s="16" t="n">
        <v>30</v>
      </c>
      <c r="G14" s="17" t="n">
        <v>1200</v>
      </c>
      <c r="H14" s="17">
        <f>F14*G14</f>
        <v/>
      </c>
      <c r="I14" s="18" t="n">
        <v>0.25</v>
      </c>
      <c r="J14" s="17">
        <f>H14*I14</f>
        <v/>
      </c>
    </row>
    <row r="15">
      <c r="A15" t="inlineStr">
        <is>
          <t>TXN-1014</t>
        </is>
      </c>
      <c r="B15" s="15" t="n">
        <v>45062</v>
      </c>
      <c r="C15" t="inlineStr">
        <is>
          <t>Cecilia Manning</t>
        </is>
      </c>
      <c r="D15" t="inlineStr">
        <is>
          <t>Pro Cloud Plan</t>
        </is>
      </c>
      <c r="E15" t="inlineStr">
        <is>
          <t>East</t>
        </is>
      </c>
      <c r="F15" s="16" t="n">
        <v>42</v>
      </c>
      <c r="G15" s="17" t="n">
        <v>1200</v>
      </c>
      <c r="H15" s="17">
        <f>F15*G15</f>
        <v/>
      </c>
      <c r="I15" s="18" t="n">
        <v>0.35</v>
      </c>
      <c r="J15" s="17">
        <f>H15*I15</f>
        <v/>
      </c>
    </row>
    <row r="16">
      <c r="A16" t="inlineStr">
        <is>
          <t>TXN-1015</t>
        </is>
      </c>
      <c r="B16" s="15" t="n">
        <v>45112</v>
      </c>
      <c r="C16" t="inlineStr">
        <is>
          <t>Cecilia Manning</t>
        </is>
      </c>
      <c r="D16" t="inlineStr">
        <is>
          <t>Pro Cloud Plan</t>
        </is>
      </c>
      <c r="E16" t="inlineStr">
        <is>
          <t>West</t>
        </is>
      </c>
      <c r="F16" s="16" t="n">
        <v>10</v>
      </c>
      <c r="G16" s="17" t="n">
        <v>150</v>
      </c>
      <c r="H16" s="17">
        <f>F16*G16</f>
        <v/>
      </c>
      <c r="I16" s="18" t="n">
        <v>0.2</v>
      </c>
      <c r="J16" s="17">
        <f>H16*I16</f>
        <v/>
      </c>
    </row>
    <row r="17">
      <c r="A17" t="inlineStr">
        <is>
          <t>TXN-1016</t>
        </is>
      </c>
      <c r="B17" s="15" t="n">
        <v>45005</v>
      </c>
      <c r="C17" t="inlineStr">
        <is>
          <t>Cecilia Manning</t>
        </is>
      </c>
      <c r="D17" t="inlineStr">
        <is>
          <t>Consulting Package</t>
        </is>
      </c>
      <c r="E17" t="inlineStr">
        <is>
          <t>North</t>
        </is>
      </c>
      <c r="F17" s="16" t="n">
        <v>29</v>
      </c>
      <c r="G17" s="17" t="n">
        <v>1200</v>
      </c>
      <c r="H17" s="17">
        <f>F17*G17</f>
        <v/>
      </c>
      <c r="I17" s="18" t="n">
        <v>0.35</v>
      </c>
      <c r="J17" s="17">
        <f>H17*I17</f>
        <v/>
      </c>
    </row>
    <row r="18">
      <c r="A18" t="inlineStr">
        <is>
          <t>TXN-1017</t>
        </is>
      </c>
      <c r="B18" s="15" t="n">
        <v>45197</v>
      </c>
      <c r="C18" t="inlineStr">
        <is>
          <t>Shari Silva</t>
        </is>
      </c>
      <c r="D18" t="inlineStr">
        <is>
          <t>Enterprise Suite</t>
        </is>
      </c>
      <c r="E18" t="inlineStr">
        <is>
          <t>North</t>
        </is>
      </c>
      <c r="F18" s="16" t="n">
        <v>48</v>
      </c>
      <c r="G18" s="17" t="n">
        <v>500</v>
      </c>
      <c r="H18" s="17">
        <f>F18*G18</f>
        <v/>
      </c>
      <c r="I18" s="18" t="n">
        <v>0.3</v>
      </c>
      <c r="J18" s="17">
        <f>H18*I18</f>
        <v/>
      </c>
    </row>
    <row r="19">
      <c r="A19" t="inlineStr">
        <is>
          <t>TXN-1018</t>
        </is>
      </c>
      <c r="B19" s="15" t="n">
        <v>44984</v>
      </c>
      <c r="C19" t="inlineStr">
        <is>
          <t>Shari Silva</t>
        </is>
      </c>
      <c r="D19" t="inlineStr">
        <is>
          <t>Consulting Package</t>
        </is>
      </c>
      <c r="E19" t="inlineStr">
        <is>
          <t>South</t>
        </is>
      </c>
      <c r="F19" s="16" t="n">
        <v>34</v>
      </c>
      <c r="G19" s="17" t="n">
        <v>150</v>
      </c>
      <c r="H19" s="17">
        <f>F19*G19</f>
        <v/>
      </c>
      <c r="I19" s="18" t="n">
        <v>0.3</v>
      </c>
      <c r="J19" s="17">
        <f>H19*I19</f>
        <v/>
      </c>
    </row>
    <row r="20">
      <c r="A20" t="inlineStr">
        <is>
          <t>TXN-1019</t>
        </is>
      </c>
      <c r="B20" s="15" t="n">
        <v>45183</v>
      </c>
      <c r="C20" t="inlineStr">
        <is>
          <t>Cecilia Manning</t>
        </is>
      </c>
      <c r="D20" t="inlineStr">
        <is>
          <t>Enterprise Suite</t>
        </is>
      </c>
      <c r="E20" t="inlineStr">
        <is>
          <t>East</t>
        </is>
      </c>
      <c r="F20" s="16" t="n">
        <v>45</v>
      </c>
      <c r="G20" s="17" t="n">
        <v>300</v>
      </c>
      <c r="H20" s="17">
        <f>F20*G20</f>
        <v/>
      </c>
      <c r="I20" s="18" t="n">
        <v>0.25</v>
      </c>
      <c r="J20" s="17">
        <f>H20*I20</f>
        <v/>
      </c>
    </row>
    <row r="21">
      <c r="A21" t="inlineStr">
        <is>
          <t>TXN-1020</t>
        </is>
      </c>
      <c r="B21" s="15" t="n">
        <v>45118</v>
      </c>
      <c r="C21" t="inlineStr">
        <is>
          <t>Cecilia Manning</t>
        </is>
      </c>
      <c r="D21" t="inlineStr">
        <is>
          <t>Enterprise Suite</t>
        </is>
      </c>
      <c r="E21" t="inlineStr">
        <is>
          <t>East</t>
        </is>
      </c>
      <c r="F21" s="16" t="n">
        <v>36</v>
      </c>
      <c r="G21" s="17" t="n">
        <v>150</v>
      </c>
      <c r="H21" s="17">
        <f>F21*G21</f>
        <v/>
      </c>
      <c r="I21" s="18" t="n">
        <v>0.2</v>
      </c>
      <c r="J21" s="17">
        <f>H21*I21</f>
        <v/>
      </c>
    </row>
    <row r="22">
      <c r="A22" t="inlineStr">
        <is>
          <t>TXN-1021</t>
        </is>
      </c>
      <c r="B22" s="15" t="n">
        <v>45112</v>
      </c>
      <c r="C22" t="inlineStr">
        <is>
          <t>Shari Silva</t>
        </is>
      </c>
      <c r="D22" t="inlineStr">
        <is>
          <t>Pro Cloud Plan</t>
        </is>
      </c>
      <c r="E22" t="inlineStr">
        <is>
          <t>North</t>
        </is>
      </c>
      <c r="F22" s="16" t="n">
        <v>20</v>
      </c>
      <c r="G22" s="17" t="n">
        <v>150</v>
      </c>
      <c r="H22" s="17">
        <f>F22*G22</f>
        <v/>
      </c>
      <c r="I22" s="18" t="n">
        <v>0.2</v>
      </c>
      <c r="J22" s="17">
        <f>H22*I22</f>
        <v/>
      </c>
    </row>
    <row r="23">
      <c r="A23" t="inlineStr">
        <is>
          <t>TXN-1022</t>
        </is>
      </c>
      <c r="B23" s="15" t="n">
        <v>45175</v>
      </c>
      <c r="C23" t="inlineStr">
        <is>
          <t>Isabel Cross</t>
        </is>
      </c>
      <c r="D23" t="inlineStr">
        <is>
          <t>Pro Cloud Plan</t>
        </is>
      </c>
      <c r="E23" t="inlineStr">
        <is>
          <t>South</t>
        </is>
      </c>
      <c r="F23" s="16" t="n">
        <v>47</v>
      </c>
      <c r="G23" s="17" t="n">
        <v>1200</v>
      </c>
      <c r="H23" s="17">
        <f>F23*G23</f>
        <v/>
      </c>
      <c r="I23" s="18" t="n">
        <v>0.25</v>
      </c>
      <c r="J23" s="17">
        <f>H23*I23</f>
        <v/>
      </c>
    </row>
    <row r="24">
      <c r="A24" t="inlineStr">
        <is>
          <t>TXN-1023</t>
        </is>
      </c>
      <c r="B24" s="15" t="n">
        <v>45062</v>
      </c>
      <c r="C24" t="inlineStr">
        <is>
          <t>Brooks Vance</t>
        </is>
      </c>
      <c r="D24" t="inlineStr">
        <is>
          <t>Consulting Package</t>
        </is>
      </c>
      <c r="E24" t="inlineStr">
        <is>
          <t>South</t>
        </is>
      </c>
      <c r="F24" s="16" t="n">
        <v>39</v>
      </c>
      <c r="G24" s="17" t="n">
        <v>300</v>
      </c>
      <c r="H24" s="17">
        <f>F24*G24</f>
        <v/>
      </c>
      <c r="I24" s="18" t="n">
        <v>0.3</v>
      </c>
      <c r="J24" s="17">
        <f>H24*I24</f>
        <v/>
      </c>
    </row>
    <row r="25">
      <c r="A25" t="inlineStr">
        <is>
          <t>TXN-1024</t>
        </is>
      </c>
      <c r="B25" s="15" t="n">
        <v>45131</v>
      </c>
      <c r="C25" t="inlineStr">
        <is>
          <t>Shari Silva</t>
        </is>
      </c>
      <c r="D25" t="inlineStr">
        <is>
          <t>Consulting Package</t>
        </is>
      </c>
      <c r="E25" t="inlineStr">
        <is>
          <t>West</t>
        </is>
      </c>
      <c r="F25" s="16" t="n">
        <v>12</v>
      </c>
      <c r="G25" s="17" t="n">
        <v>300</v>
      </c>
      <c r="H25" s="17">
        <f>F25*G25</f>
        <v/>
      </c>
      <c r="I25" s="18" t="n">
        <v>0.25</v>
      </c>
      <c r="J25" s="17">
        <f>H25*I25</f>
        <v/>
      </c>
    </row>
    <row r="26">
      <c r="A26" t="inlineStr">
        <is>
          <t>TXN-1025</t>
        </is>
      </c>
      <c r="B26" s="15" t="n">
        <v>44959</v>
      </c>
      <c r="C26" t="inlineStr">
        <is>
          <t>Shari Silva</t>
        </is>
      </c>
      <c r="D26" t="inlineStr">
        <is>
          <t>Enterprise Suite</t>
        </is>
      </c>
      <c r="E26" t="inlineStr">
        <is>
          <t>South</t>
        </is>
      </c>
      <c r="F26" s="16" t="n">
        <v>42</v>
      </c>
      <c r="G26" s="17" t="n">
        <v>300</v>
      </c>
      <c r="H26" s="17">
        <f>F26*G26</f>
        <v/>
      </c>
      <c r="I26" s="18" t="n">
        <v>0.2</v>
      </c>
      <c r="J26" s="17">
        <f>H26*I26</f>
        <v/>
      </c>
    </row>
    <row r="27">
      <c r="A27" t="inlineStr">
        <is>
          <t>TXN-1026</t>
        </is>
      </c>
      <c r="B27" s="15" t="n">
        <v>44963</v>
      </c>
      <c r="C27" t="inlineStr">
        <is>
          <t>Isabel Cross</t>
        </is>
      </c>
      <c r="D27" t="inlineStr">
        <is>
          <t>Pro Cloud Plan</t>
        </is>
      </c>
      <c r="E27" t="inlineStr">
        <is>
          <t>North</t>
        </is>
      </c>
      <c r="F27" s="16" t="n">
        <v>7</v>
      </c>
      <c r="G27" s="17" t="n">
        <v>500</v>
      </c>
      <c r="H27" s="17">
        <f>F27*G27</f>
        <v/>
      </c>
      <c r="I27" s="18" t="n">
        <v>0.2</v>
      </c>
      <c r="J27" s="17">
        <f>H27*I27</f>
        <v/>
      </c>
    </row>
    <row r="28">
      <c r="A28" t="inlineStr">
        <is>
          <t>TXN-1027</t>
        </is>
      </c>
      <c r="B28" s="15" t="n">
        <v>45190</v>
      </c>
      <c r="C28" t="inlineStr">
        <is>
          <t>Cecilia Manning</t>
        </is>
      </c>
      <c r="D28" t="inlineStr">
        <is>
          <t>Hardware Node</t>
        </is>
      </c>
      <c r="E28" t="inlineStr">
        <is>
          <t>West</t>
        </is>
      </c>
      <c r="F28" s="16" t="n">
        <v>18</v>
      </c>
      <c r="G28" s="17" t="n">
        <v>300</v>
      </c>
      <c r="H28" s="17">
        <f>F28*G28</f>
        <v/>
      </c>
      <c r="I28" s="18" t="n">
        <v>0.35</v>
      </c>
      <c r="J28" s="17">
        <f>H28*I28</f>
        <v/>
      </c>
    </row>
    <row r="29">
      <c r="A29" t="inlineStr">
        <is>
          <t>TXN-1028</t>
        </is>
      </c>
      <c r="B29" s="15" t="n">
        <v>45051</v>
      </c>
      <c r="C29" t="inlineStr">
        <is>
          <t>Albert Cook</t>
        </is>
      </c>
      <c r="D29" t="inlineStr">
        <is>
          <t>Consulting Package</t>
        </is>
      </c>
      <c r="E29" t="inlineStr">
        <is>
          <t>South</t>
        </is>
      </c>
      <c r="F29" s="16" t="n">
        <v>11</v>
      </c>
      <c r="G29" s="17" t="n">
        <v>150</v>
      </c>
      <c r="H29" s="17">
        <f>F29*G29</f>
        <v/>
      </c>
      <c r="I29" s="18" t="n">
        <v>0.35</v>
      </c>
      <c r="J29" s="17">
        <f>H29*I29</f>
        <v/>
      </c>
    </row>
    <row r="30">
      <c r="A30" t="inlineStr">
        <is>
          <t>TXN-1029</t>
        </is>
      </c>
      <c r="B30" s="15" t="n">
        <v>45108</v>
      </c>
      <c r="C30" t="inlineStr">
        <is>
          <t>Albert Cook</t>
        </is>
      </c>
      <c r="D30" t="inlineStr">
        <is>
          <t>Consulting Package</t>
        </is>
      </c>
      <c r="E30" t="inlineStr">
        <is>
          <t>West</t>
        </is>
      </c>
      <c r="F30" s="16" t="n">
        <v>8</v>
      </c>
      <c r="G30" s="17" t="n">
        <v>150</v>
      </c>
      <c r="H30" s="17">
        <f>F30*G30</f>
        <v/>
      </c>
      <c r="I30" s="18" t="n">
        <v>0.2</v>
      </c>
      <c r="J30" s="17">
        <f>H30*I30</f>
        <v/>
      </c>
    </row>
    <row r="31">
      <c r="A31" t="inlineStr">
        <is>
          <t>TXN-1030</t>
        </is>
      </c>
      <c r="B31" s="15" t="n">
        <v>45133</v>
      </c>
      <c r="C31" t="inlineStr">
        <is>
          <t>Shari Silva</t>
        </is>
      </c>
      <c r="D31" t="inlineStr">
        <is>
          <t>Enterprise Suite</t>
        </is>
      </c>
      <c r="E31" t="inlineStr">
        <is>
          <t>South</t>
        </is>
      </c>
      <c r="F31" s="16" t="n">
        <v>17</v>
      </c>
      <c r="G31" s="17" t="n">
        <v>300</v>
      </c>
      <c r="H31" s="17">
        <f>F31*G31</f>
        <v/>
      </c>
      <c r="I31" s="18" t="n">
        <v>0.35</v>
      </c>
      <c r="J31" s="17">
        <f>H31*I31</f>
        <v/>
      </c>
    </row>
    <row r="32">
      <c r="A32" t="inlineStr">
        <is>
          <t>TXN-1031</t>
        </is>
      </c>
      <c r="B32" s="15" t="n">
        <v>44998</v>
      </c>
      <c r="C32" t="inlineStr">
        <is>
          <t>Albert Cook</t>
        </is>
      </c>
      <c r="D32" t="inlineStr">
        <is>
          <t>Pro Cloud Plan</t>
        </is>
      </c>
      <c r="E32" t="inlineStr">
        <is>
          <t>East</t>
        </is>
      </c>
      <c r="F32" s="16" t="n">
        <v>34</v>
      </c>
      <c r="G32" s="17" t="n">
        <v>300</v>
      </c>
      <c r="H32" s="17">
        <f>F32*G32</f>
        <v/>
      </c>
      <c r="I32" s="18" t="n">
        <v>0.2</v>
      </c>
      <c r="J32" s="17">
        <f>H32*I32</f>
        <v/>
      </c>
    </row>
    <row r="33">
      <c r="A33" t="inlineStr">
        <is>
          <t>TXN-1032</t>
        </is>
      </c>
      <c r="B33" s="15" t="n">
        <v>45153</v>
      </c>
      <c r="C33" t="inlineStr">
        <is>
          <t>Brooks Vance</t>
        </is>
      </c>
      <c r="D33" t="inlineStr">
        <is>
          <t>Enterprise Suite</t>
        </is>
      </c>
      <c r="E33" t="inlineStr">
        <is>
          <t>North</t>
        </is>
      </c>
      <c r="F33" s="16" t="n">
        <v>46</v>
      </c>
      <c r="G33" s="17" t="n">
        <v>150</v>
      </c>
      <c r="H33" s="17">
        <f>F33*G33</f>
        <v/>
      </c>
      <c r="I33" s="18" t="n">
        <v>0.2</v>
      </c>
      <c r="J33" s="17">
        <f>H33*I33</f>
        <v/>
      </c>
    </row>
    <row r="34">
      <c r="A34" t="inlineStr">
        <is>
          <t>TXN-1033</t>
        </is>
      </c>
      <c r="B34" s="15" t="n">
        <v>45048</v>
      </c>
      <c r="C34" t="inlineStr">
        <is>
          <t>Cecilia Manning</t>
        </is>
      </c>
      <c r="D34" t="inlineStr">
        <is>
          <t>Consulting Package</t>
        </is>
      </c>
      <c r="E34" t="inlineStr">
        <is>
          <t>West</t>
        </is>
      </c>
      <c r="F34" s="16" t="n">
        <v>35</v>
      </c>
      <c r="G34" s="17" t="n">
        <v>300</v>
      </c>
      <c r="H34" s="17">
        <f>F34*G34</f>
        <v/>
      </c>
      <c r="I34" s="18" t="n">
        <v>0.35</v>
      </c>
      <c r="J34" s="17">
        <f>H34*I34</f>
        <v/>
      </c>
    </row>
    <row r="35">
      <c r="A35" t="inlineStr">
        <is>
          <t>TXN-1034</t>
        </is>
      </c>
      <c r="B35" s="15" t="n">
        <v>44957</v>
      </c>
      <c r="C35" t="inlineStr">
        <is>
          <t>Cecilia Manning</t>
        </is>
      </c>
      <c r="D35" t="inlineStr">
        <is>
          <t>Consulting Package</t>
        </is>
      </c>
      <c r="E35" t="inlineStr">
        <is>
          <t>North</t>
        </is>
      </c>
      <c r="F35" s="16" t="n">
        <v>29</v>
      </c>
      <c r="G35" s="17" t="n">
        <v>500</v>
      </c>
      <c r="H35" s="17">
        <f>F35*G35</f>
        <v/>
      </c>
      <c r="I35" s="18" t="n">
        <v>0.35</v>
      </c>
      <c r="J35" s="17">
        <f>H35*I35</f>
        <v/>
      </c>
    </row>
    <row r="36">
      <c r="A36" t="inlineStr">
        <is>
          <t>TXN-1035</t>
        </is>
      </c>
      <c r="B36" s="15" t="n">
        <v>45073</v>
      </c>
      <c r="C36" t="inlineStr">
        <is>
          <t>Albert Cook</t>
        </is>
      </c>
      <c r="D36" t="inlineStr">
        <is>
          <t>Consulting Package</t>
        </is>
      </c>
      <c r="E36" t="inlineStr">
        <is>
          <t>South</t>
        </is>
      </c>
      <c r="F36" s="16" t="n">
        <v>17</v>
      </c>
      <c r="G36" s="17" t="n">
        <v>500</v>
      </c>
      <c r="H36" s="17">
        <f>F36*G36</f>
        <v/>
      </c>
      <c r="I36" s="18" t="n">
        <v>0.25</v>
      </c>
      <c r="J36" s="17">
        <f>H36*I36</f>
        <v/>
      </c>
    </row>
    <row r="37">
      <c r="A37" t="inlineStr">
        <is>
          <t>TXN-1036</t>
        </is>
      </c>
      <c r="B37" s="15" t="n">
        <v>44956</v>
      </c>
      <c r="C37" t="inlineStr">
        <is>
          <t>Brooks Vance</t>
        </is>
      </c>
      <c r="D37" t="inlineStr">
        <is>
          <t>Enterprise Suite</t>
        </is>
      </c>
      <c r="E37" t="inlineStr">
        <is>
          <t>East</t>
        </is>
      </c>
      <c r="F37" s="16" t="n">
        <v>8</v>
      </c>
      <c r="G37" s="17" t="n">
        <v>150</v>
      </c>
      <c r="H37" s="17">
        <f>F37*G37</f>
        <v/>
      </c>
      <c r="I37" s="18" t="n">
        <v>0.35</v>
      </c>
      <c r="J37" s="17">
        <f>H37*I37</f>
        <v/>
      </c>
    </row>
    <row r="38">
      <c r="A38" t="inlineStr">
        <is>
          <t>TXN-1037</t>
        </is>
      </c>
      <c r="B38" s="15" t="n">
        <v>45184</v>
      </c>
      <c r="C38" t="inlineStr">
        <is>
          <t>Brooks Vance</t>
        </is>
      </c>
      <c r="D38" t="inlineStr">
        <is>
          <t>Pro Cloud Plan</t>
        </is>
      </c>
      <c r="E38" t="inlineStr">
        <is>
          <t>North</t>
        </is>
      </c>
      <c r="F38" s="16" t="n">
        <v>37</v>
      </c>
      <c r="G38" s="17" t="n">
        <v>150</v>
      </c>
      <c r="H38" s="17">
        <f>F38*G38</f>
        <v/>
      </c>
      <c r="I38" s="18" t="n">
        <v>0.25</v>
      </c>
      <c r="J38" s="17">
        <f>H38*I38</f>
        <v/>
      </c>
    </row>
    <row r="39">
      <c r="A39" t="inlineStr">
        <is>
          <t>TXN-1038</t>
        </is>
      </c>
      <c r="B39" s="15" t="n">
        <v>44962</v>
      </c>
      <c r="C39" t="inlineStr">
        <is>
          <t>Brooks Vance</t>
        </is>
      </c>
      <c r="D39" t="inlineStr">
        <is>
          <t>Enterprise Suite</t>
        </is>
      </c>
      <c r="E39" t="inlineStr">
        <is>
          <t>South</t>
        </is>
      </c>
      <c r="F39" s="16" t="n">
        <v>30</v>
      </c>
      <c r="G39" s="17" t="n">
        <v>150</v>
      </c>
      <c r="H39" s="17">
        <f>F39*G39</f>
        <v/>
      </c>
      <c r="I39" s="18" t="n">
        <v>0.25</v>
      </c>
      <c r="J39" s="17">
        <f>H39*I39</f>
        <v/>
      </c>
    </row>
    <row r="40">
      <c r="A40" t="inlineStr">
        <is>
          <t>TXN-1039</t>
        </is>
      </c>
      <c r="B40" s="15" t="n">
        <v>45223</v>
      </c>
      <c r="C40" t="inlineStr">
        <is>
          <t>Brooks Vance</t>
        </is>
      </c>
      <c r="D40" t="inlineStr">
        <is>
          <t>Enterprise Suite</t>
        </is>
      </c>
      <c r="E40" t="inlineStr">
        <is>
          <t>North</t>
        </is>
      </c>
      <c r="F40" s="16" t="n">
        <v>31</v>
      </c>
      <c r="G40" s="17" t="n">
        <v>500</v>
      </c>
      <c r="H40" s="17">
        <f>F40*G40</f>
        <v/>
      </c>
      <c r="I40" s="18" t="n">
        <v>0.3</v>
      </c>
      <c r="J40" s="17">
        <f>H40*I40</f>
        <v/>
      </c>
    </row>
    <row r="41">
      <c r="A41" t="inlineStr">
        <is>
          <t>TXN-1040</t>
        </is>
      </c>
      <c r="B41" s="15" t="n">
        <v>45031</v>
      </c>
      <c r="C41" t="inlineStr">
        <is>
          <t>Shari Silva</t>
        </is>
      </c>
      <c r="D41" t="inlineStr">
        <is>
          <t>Pro Cloud Plan</t>
        </is>
      </c>
      <c r="E41" t="inlineStr">
        <is>
          <t>East</t>
        </is>
      </c>
      <c r="F41" s="16" t="n">
        <v>30</v>
      </c>
      <c r="G41" s="17" t="n">
        <v>300</v>
      </c>
      <c r="H41" s="17">
        <f>F41*G41</f>
        <v/>
      </c>
      <c r="I41" s="18" t="n">
        <v>0.3</v>
      </c>
      <c r="J41" s="17">
        <f>H41*I41</f>
        <v/>
      </c>
    </row>
    <row r="42">
      <c r="A42" t="inlineStr">
        <is>
          <t>TXN-1041</t>
        </is>
      </c>
      <c r="B42" s="15" t="n">
        <v>45161</v>
      </c>
      <c r="C42" t="inlineStr">
        <is>
          <t>Shari Silva</t>
        </is>
      </c>
      <c r="D42" t="inlineStr">
        <is>
          <t>Enterprise Suite</t>
        </is>
      </c>
      <c r="E42" t="inlineStr">
        <is>
          <t>North</t>
        </is>
      </c>
      <c r="F42" s="16" t="n">
        <v>34</v>
      </c>
      <c r="G42" s="17" t="n">
        <v>150</v>
      </c>
      <c r="H42" s="17">
        <f>F42*G42</f>
        <v/>
      </c>
      <c r="I42" s="18" t="n">
        <v>0.2</v>
      </c>
      <c r="J42" s="17">
        <f>H42*I42</f>
        <v/>
      </c>
    </row>
    <row r="43">
      <c r="A43" t="inlineStr">
        <is>
          <t>TXN-1042</t>
        </is>
      </c>
      <c r="B43" s="15" t="n">
        <v>45202</v>
      </c>
      <c r="C43" t="inlineStr">
        <is>
          <t>Cecilia Manning</t>
        </is>
      </c>
      <c r="D43" t="inlineStr">
        <is>
          <t>Hardware Node</t>
        </is>
      </c>
      <c r="E43" t="inlineStr">
        <is>
          <t>South</t>
        </is>
      </c>
      <c r="F43" s="16" t="n">
        <v>27</v>
      </c>
      <c r="G43" s="17" t="n">
        <v>150</v>
      </c>
      <c r="H43" s="17">
        <f>F43*G43</f>
        <v/>
      </c>
      <c r="I43" s="18" t="n">
        <v>0.25</v>
      </c>
      <c r="J43" s="17">
        <f>H43*I43</f>
        <v/>
      </c>
    </row>
    <row r="44">
      <c r="A44" t="inlineStr">
        <is>
          <t>TXN-1043</t>
        </is>
      </c>
      <c r="B44" s="15" t="n">
        <v>45116</v>
      </c>
      <c r="C44" t="inlineStr">
        <is>
          <t>Shari Silva</t>
        </is>
      </c>
      <c r="D44" t="inlineStr">
        <is>
          <t>Pro Cloud Plan</t>
        </is>
      </c>
      <c r="E44" t="inlineStr">
        <is>
          <t>West</t>
        </is>
      </c>
      <c r="F44" s="16" t="n">
        <v>39</v>
      </c>
      <c r="G44" s="17" t="n">
        <v>500</v>
      </c>
      <c r="H44" s="17">
        <f>F44*G44</f>
        <v/>
      </c>
      <c r="I44" s="18" t="n">
        <v>0.2</v>
      </c>
      <c r="J44" s="17">
        <f>H44*I44</f>
        <v/>
      </c>
    </row>
    <row r="45">
      <c r="A45" t="inlineStr">
        <is>
          <t>TXN-1044</t>
        </is>
      </c>
      <c r="B45" s="15" t="n">
        <v>45268</v>
      </c>
      <c r="C45" t="inlineStr">
        <is>
          <t>Brooks Vance</t>
        </is>
      </c>
      <c r="D45" t="inlineStr">
        <is>
          <t>Hardware Node</t>
        </is>
      </c>
      <c r="E45" t="inlineStr">
        <is>
          <t>North</t>
        </is>
      </c>
      <c r="F45" s="16" t="n">
        <v>13</v>
      </c>
      <c r="G45" s="17" t="n">
        <v>500</v>
      </c>
      <c r="H45" s="17">
        <f>F45*G45</f>
        <v/>
      </c>
      <c r="I45" s="18" t="n">
        <v>0.2</v>
      </c>
      <c r="J45" s="17">
        <f>H45*I45</f>
        <v/>
      </c>
    </row>
    <row r="46">
      <c r="A46" t="inlineStr">
        <is>
          <t>TXN-1045</t>
        </is>
      </c>
      <c r="B46" s="15" t="n">
        <v>44981</v>
      </c>
      <c r="C46" t="inlineStr">
        <is>
          <t>Brooks Vance</t>
        </is>
      </c>
      <c r="D46" t="inlineStr">
        <is>
          <t>Pro Cloud Plan</t>
        </is>
      </c>
      <c r="E46" t="inlineStr">
        <is>
          <t>East</t>
        </is>
      </c>
      <c r="F46" s="16" t="n">
        <v>23</v>
      </c>
      <c r="G46" s="17" t="n">
        <v>300</v>
      </c>
      <c r="H46" s="17">
        <f>F46*G46</f>
        <v/>
      </c>
      <c r="I46" s="18" t="n">
        <v>0.3</v>
      </c>
      <c r="J46" s="17">
        <f>H46*I46</f>
        <v/>
      </c>
    </row>
    <row r="47">
      <c r="A47" t="inlineStr">
        <is>
          <t>TXN-1046</t>
        </is>
      </c>
      <c r="B47" s="15" t="n">
        <v>45031</v>
      </c>
      <c r="C47" t="inlineStr">
        <is>
          <t>Shari Silva</t>
        </is>
      </c>
      <c r="D47" t="inlineStr">
        <is>
          <t>Consulting Package</t>
        </is>
      </c>
      <c r="E47" t="inlineStr">
        <is>
          <t>East</t>
        </is>
      </c>
      <c r="F47" s="16" t="n">
        <v>8</v>
      </c>
      <c r="G47" s="17" t="n">
        <v>150</v>
      </c>
      <c r="H47" s="17">
        <f>F47*G47</f>
        <v/>
      </c>
      <c r="I47" s="18" t="n">
        <v>0.35</v>
      </c>
      <c r="J47" s="17">
        <f>H47*I47</f>
        <v/>
      </c>
    </row>
    <row r="48">
      <c r="A48" t="inlineStr">
        <is>
          <t>TXN-1047</t>
        </is>
      </c>
      <c r="B48" s="15" t="n">
        <v>45068</v>
      </c>
      <c r="C48" t="inlineStr">
        <is>
          <t>Isabel Cross</t>
        </is>
      </c>
      <c r="D48" t="inlineStr">
        <is>
          <t>Enterprise Suite</t>
        </is>
      </c>
      <c r="E48" t="inlineStr">
        <is>
          <t>East</t>
        </is>
      </c>
      <c r="F48" s="16" t="n">
        <v>13</v>
      </c>
      <c r="G48" s="17" t="n">
        <v>500</v>
      </c>
      <c r="H48" s="17">
        <f>F48*G48</f>
        <v/>
      </c>
      <c r="I48" s="18" t="n">
        <v>0.25</v>
      </c>
      <c r="J48" s="17">
        <f>H48*I48</f>
        <v/>
      </c>
    </row>
    <row r="49">
      <c r="A49" t="inlineStr">
        <is>
          <t>TXN-1048</t>
        </is>
      </c>
      <c r="B49" s="15" t="n">
        <v>45153</v>
      </c>
      <c r="C49" t="inlineStr">
        <is>
          <t>Brooks Vance</t>
        </is>
      </c>
      <c r="D49" t="inlineStr">
        <is>
          <t>Consulting Package</t>
        </is>
      </c>
      <c r="E49" t="inlineStr">
        <is>
          <t>North</t>
        </is>
      </c>
      <c r="F49" s="16" t="n">
        <v>12</v>
      </c>
      <c r="G49" s="17" t="n">
        <v>150</v>
      </c>
      <c r="H49" s="17">
        <f>F49*G49</f>
        <v/>
      </c>
      <c r="I49" s="18" t="n">
        <v>0.25</v>
      </c>
      <c r="J49" s="17">
        <f>H49*I49</f>
        <v/>
      </c>
    </row>
    <row r="50">
      <c r="A50" t="inlineStr">
        <is>
          <t>TXN-1049</t>
        </is>
      </c>
      <c r="B50" s="15" t="n">
        <v>45206</v>
      </c>
      <c r="C50" t="inlineStr">
        <is>
          <t>Isabel Cross</t>
        </is>
      </c>
      <c r="D50" t="inlineStr">
        <is>
          <t>Hardware Node</t>
        </is>
      </c>
      <c r="E50" t="inlineStr">
        <is>
          <t>South</t>
        </is>
      </c>
      <c r="F50" s="16" t="n">
        <v>32</v>
      </c>
      <c r="G50" s="17" t="n">
        <v>300</v>
      </c>
      <c r="H50" s="17">
        <f>F50*G50</f>
        <v/>
      </c>
      <c r="I50" s="18" t="n">
        <v>0.2</v>
      </c>
      <c r="J50" s="17">
        <f>H50*I50</f>
        <v/>
      </c>
    </row>
    <row r="51">
      <c r="A51" t="inlineStr">
        <is>
          <t>TXN-1050</t>
        </is>
      </c>
      <c r="B51" s="15" t="n">
        <v>45084</v>
      </c>
      <c r="C51" t="inlineStr">
        <is>
          <t>Shari Silva</t>
        </is>
      </c>
      <c r="D51" t="inlineStr">
        <is>
          <t>Enterprise Suite</t>
        </is>
      </c>
      <c r="E51" t="inlineStr">
        <is>
          <t>East</t>
        </is>
      </c>
      <c r="F51" s="16" t="n">
        <v>18</v>
      </c>
      <c r="G51" s="17" t="n">
        <v>300</v>
      </c>
      <c r="H51" s="17">
        <f>F51*G51</f>
        <v/>
      </c>
      <c r="I51" s="18" t="n">
        <v>0.2</v>
      </c>
      <c r="J51" s="17">
        <f>H51*I51</f>
        <v/>
      </c>
    </row>
    <row r="52">
      <c r="A52" t="inlineStr">
        <is>
          <t>TXN-1051</t>
        </is>
      </c>
      <c r="B52" s="15" t="n">
        <v>45108</v>
      </c>
      <c r="C52" t="inlineStr">
        <is>
          <t>Brooks Vance</t>
        </is>
      </c>
      <c r="D52" t="inlineStr">
        <is>
          <t>Consulting Package</t>
        </is>
      </c>
      <c r="E52" t="inlineStr">
        <is>
          <t>South</t>
        </is>
      </c>
      <c r="F52" s="16" t="n">
        <v>20</v>
      </c>
      <c r="G52" s="17" t="n">
        <v>300</v>
      </c>
      <c r="H52" s="17">
        <f>F52*G52</f>
        <v/>
      </c>
      <c r="I52" s="18" t="n">
        <v>0.25</v>
      </c>
      <c r="J52" s="17">
        <f>H52*I52</f>
        <v/>
      </c>
    </row>
    <row r="53">
      <c r="A53" t="inlineStr">
        <is>
          <t>TXN-1052</t>
        </is>
      </c>
      <c r="B53" s="15" t="n">
        <v>45138</v>
      </c>
      <c r="C53" t="inlineStr">
        <is>
          <t>Isabel Cross</t>
        </is>
      </c>
      <c r="D53" t="inlineStr">
        <is>
          <t>Pro Cloud Plan</t>
        </is>
      </c>
      <c r="E53" t="inlineStr">
        <is>
          <t>East</t>
        </is>
      </c>
      <c r="F53" s="16" t="n">
        <v>31</v>
      </c>
      <c r="G53" s="17" t="n">
        <v>300</v>
      </c>
      <c r="H53" s="17">
        <f>F53*G53</f>
        <v/>
      </c>
      <c r="I53" s="18" t="n">
        <v>0.3</v>
      </c>
      <c r="J53" s="17">
        <f>H53*I53</f>
        <v/>
      </c>
    </row>
    <row r="54">
      <c r="A54" t="inlineStr">
        <is>
          <t>TXN-1053</t>
        </is>
      </c>
      <c r="B54" s="15" t="n">
        <v>45008</v>
      </c>
      <c r="C54" t="inlineStr">
        <is>
          <t>Isabel Cross</t>
        </is>
      </c>
      <c r="D54" t="inlineStr">
        <is>
          <t>Consulting Package</t>
        </is>
      </c>
      <c r="E54" t="inlineStr">
        <is>
          <t>North</t>
        </is>
      </c>
      <c r="F54" s="16" t="n">
        <v>35</v>
      </c>
      <c r="G54" s="17" t="n">
        <v>300</v>
      </c>
      <c r="H54" s="17">
        <f>F54*G54</f>
        <v/>
      </c>
      <c r="I54" s="18" t="n">
        <v>0.25</v>
      </c>
      <c r="J54" s="17">
        <f>H54*I54</f>
        <v/>
      </c>
    </row>
    <row r="55">
      <c r="A55" t="inlineStr">
        <is>
          <t>TXN-1054</t>
        </is>
      </c>
      <c r="B55" s="15" t="n">
        <v>45162</v>
      </c>
      <c r="C55" t="inlineStr">
        <is>
          <t>Shari Silva</t>
        </is>
      </c>
      <c r="D55" t="inlineStr">
        <is>
          <t>Hardware Node</t>
        </is>
      </c>
      <c r="E55" t="inlineStr">
        <is>
          <t>South</t>
        </is>
      </c>
      <c r="F55" s="16" t="n">
        <v>19</v>
      </c>
      <c r="G55" s="17" t="n">
        <v>150</v>
      </c>
      <c r="H55" s="17">
        <f>F55*G55</f>
        <v/>
      </c>
      <c r="I55" s="18" t="n">
        <v>0.25</v>
      </c>
      <c r="J55" s="17">
        <f>H55*I55</f>
        <v/>
      </c>
    </row>
    <row r="56">
      <c r="A56" t="inlineStr">
        <is>
          <t>TXN-1055</t>
        </is>
      </c>
      <c r="B56" s="15" t="n">
        <v>45131</v>
      </c>
      <c r="C56" t="inlineStr">
        <is>
          <t>Shari Silva</t>
        </is>
      </c>
      <c r="D56" t="inlineStr">
        <is>
          <t>Hardware Node</t>
        </is>
      </c>
      <c r="E56" t="inlineStr">
        <is>
          <t>North</t>
        </is>
      </c>
      <c r="F56" s="16" t="n">
        <v>22</v>
      </c>
      <c r="G56" s="17" t="n">
        <v>500</v>
      </c>
      <c r="H56" s="17">
        <f>F56*G56</f>
        <v/>
      </c>
      <c r="I56" s="18" t="n">
        <v>0.35</v>
      </c>
      <c r="J56" s="17">
        <f>H56*I56</f>
        <v/>
      </c>
    </row>
    <row r="57">
      <c r="A57" t="inlineStr">
        <is>
          <t>TXN-1056</t>
        </is>
      </c>
      <c r="B57" s="15" t="n">
        <v>45274</v>
      </c>
      <c r="C57" t="inlineStr">
        <is>
          <t>Brooks Vance</t>
        </is>
      </c>
      <c r="D57" t="inlineStr">
        <is>
          <t>Hardware Node</t>
        </is>
      </c>
      <c r="E57" t="inlineStr">
        <is>
          <t>North</t>
        </is>
      </c>
      <c r="F57" s="16" t="n">
        <v>12</v>
      </c>
      <c r="G57" s="17" t="n">
        <v>500</v>
      </c>
      <c r="H57" s="17">
        <f>F57*G57</f>
        <v/>
      </c>
      <c r="I57" s="18" t="n">
        <v>0.25</v>
      </c>
      <c r="J57" s="17">
        <f>H57*I57</f>
        <v/>
      </c>
    </row>
    <row r="58">
      <c r="A58" t="inlineStr">
        <is>
          <t>TXN-1057</t>
        </is>
      </c>
      <c r="B58" s="15" t="n">
        <v>45224</v>
      </c>
      <c r="C58" t="inlineStr">
        <is>
          <t>Shari Silva</t>
        </is>
      </c>
      <c r="D58" t="inlineStr">
        <is>
          <t>Enterprise Suite</t>
        </is>
      </c>
      <c r="E58" t="inlineStr">
        <is>
          <t>North</t>
        </is>
      </c>
      <c r="F58" s="16" t="n">
        <v>43</v>
      </c>
      <c r="G58" s="17" t="n">
        <v>1200</v>
      </c>
      <c r="H58" s="17">
        <f>F58*G58</f>
        <v/>
      </c>
      <c r="I58" s="18" t="n">
        <v>0.3</v>
      </c>
      <c r="J58" s="17">
        <f>H58*I58</f>
        <v/>
      </c>
    </row>
    <row r="59">
      <c r="A59" t="inlineStr">
        <is>
          <t>TXN-1058</t>
        </is>
      </c>
      <c r="B59" s="15" t="n">
        <v>45087</v>
      </c>
      <c r="C59" t="inlineStr">
        <is>
          <t>Albert Cook</t>
        </is>
      </c>
      <c r="D59" t="inlineStr">
        <is>
          <t>Enterprise Suite</t>
        </is>
      </c>
      <c r="E59" t="inlineStr">
        <is>
          <t>West</t>
        </is>
      </c>
      <c r="F59" s="16" t="n">
        <v>41</v>
      </c>
      <c r="G59" s="17" t="n">
        <v>300</v>
      </c>
      <c r="H59" s="17">
        <f>F59*G59</f>
        <v/>
      </c>
      <c r="I59" s="18" t="n">
        <v>0.3</v>
      </c>
      <c r="J59" s="17">
        <f>H59*I59</f>
        <v/>
      </c>
    </row>
    <row r="60">
      <c r="A60" t="inlineStr">
        <is>
          <t>TXN-1059</t>
        </is>
      </c>
      <c r="B60" s="15" t="n">
        <v>44949</v>
      </c>
      <c r="C60" t="inlineStr">
        <is>
          <t>Albert Cook</t>
        </is>
      </c>
      <c r="D60" t="inlineStr">
        <is>
          <t>Enterprise Suite</t>
        </is>
      </c>
      <c r="E60" t="inlineStr">
        <is>
          <t>South</t>
        </is>
      </c>
      <c r="F60" s="16" t="n">
        <v>28</v>
      </c>
      <c r="G60" s="17" t="n">
        <v>1200</v>
      </c>
      <c r="H60" s="17">
        <f>F60*G60</f>
        <v/>
      </c>
      <c r="I60" s="18" t="n">
        <v>0.2</v>
      </c>
      <c r="J60" s="17">
        <f>H60*I60</f>
        <v/>
      </c>
    </row>
    <row r="61">
      <c r="A61" t="inlineStr">
        <is>
          <t>TXN-1060</t>
        </is>
      </c>
      <c r="B61" s="15" t="n">
        <v>45267</v>
      </c>
      <c r="C61" t="inlineStr">
        <is>
          <t>Shari Silva</t>
        </is>
      </c>
      <c r="D61" t="inlineStr">
        <is>
          <t>Hardware Node</t>
        </is>
      </c>
      <c r="E61" t="inlineStr">
        <is>
          <t>North</t>
        </is>
      </c>
      <c r="F61" s="16" t="n">
        <v>24</v>
      </c>
      <c r="G61" s="17" t="n">
        <v>500</v>
      </c>
      <c r="H61" s="17">
        <f>F61*G61</f>
        <v/>
      </c>
      <c r="I61" s="18" t="n">
        <v>0.35</v>
      </c>
      <c r="J61" s="17">
        <f>H61*I61</f>
        <v/>
      </c>
    </row>
    <row r="62">
      <c r="A62" t="inlineStr">
        <is>
          <t>TXN-1061</t>
        </is>
      </c>
      <c r="B62" s="15" t="n">
        <v>45094</v>
      </c>
      <c r="C62" t="inlineStr">
        <is>
          <t>Albert Cook</t>
        </is>
      </c>
      <c r="D62" t="inlineStr">
        <is>
          <t>Hardware Node</t>
        </is>
      </c>
      <c r="E62" t="inlineStr">
        <is>
          <t>South</t>
        </is>
      </c>
      <c r="F62" s="16" t="n">
        <v>17</v>
      </c>
      <c r="G62" s="17" t="n">
        <v>1200</v>
      </c>
      <c r="H62" s="17">
        <f>F62*G62</f>
        <v/>
      </c>
      <c r="I62" s="18" t="n">
        <v>0.35</v>
      </c>
      <c r="J62" s="17">
        <f>H62*I62</f>
        <v/>
      </c>
    </row>
    <row r="63">
      <c r="A63" t="inlineStr">
        <is>
          <t>TXN-1062</t>
        </is>
      </c>
      <c r="B63" s="15" t="n">
        <v>45273</v>
      </c>
      <c r="C63" t="inlineStr">
        <is>
          <t>Cecilia Manning</t>
        </is>
      </c>
      <c r="D63" t="inlineStr">
        <is>
          <t>Hardware Node</t>
        </is>
      </c>
      <c r="E63" t="inlineStr">
        <is>
          <t>West</t>
        </is>
      </c>
      <c r="F63" s="16" t="n">
        <v>40</v>
      </c>
      <c r="G63" s="17" t="n">
        <v>150</v>
      </c>
      <c r="H63" s="17">
        <f>F63*G63</f>
        <v/>
      </c>
      <c r="I63" s="18" t="n">
        <v>0.3</v>
      </c>
      <c r="J63" s="17">
        <f>H63*I63</f>
        <v/>
      </c>
    </row>
    <row r="64">
      <c r="A64" t="inlineStr">
        <is>
          <t>TXN-1063</t>
        </is>
      </c>
      <c r="B64" s="15" t="n">
        <v>45073</v>
      </c>
      <c r="C64" t="inlineStr">
        <is>
          <t>Cecilia Manning</t>
        </is>
      </c>
      <c r="D64" t="inlineStr">
        <is>
          <t>Consulting Package</t>
        </is>
      </c>
      <c r="E64" t="inlineStr">
        <is>
          <t>East</t>
        </is>
      </c>
      <c r="F64" s="16" t="n">
        <v>34</v>
      </c>
      <c r="G64" s="17" t="n">
        <v>1200</v>
      </c>
      <c r="H64" s="17">
        <f>F64*G64</f>
        <v/>
      </c>
      <c r="I64" s="18" t="n">
        <v>0.35</v>
      </c>
      <c r="J64" s="17">
        <f>H64*I64</f>
        <v/>
      </c>
    </row>
    <row r="65">
      <c r="A65" t="inlineStr">
        <is>
          <t>TXN-1064</t>
        </is>
      </c>
      <c r="B65" s="15" t="n">
        <v>45272</v>
      </c>
      <c r="C65" t="inlineStr">
        <is>
          <t>Cecilia Manning</t>
        </is>
      </c>
      <c r="D65" t="inlineStr">
        <is>
          <t>Consulting Package</t>
        </is>
      </c>
      <c r="E65" t="inlineStr">
        <is>
          <t>South</t>
        </is>
      </c>
      <c r="F65" s="16" t="n">
        <v>47</v>
      </c>
      <c r="G65" s="17" t="n">
        <v>150</v>
      </c>
      <c r="H65" s="17">
        <f>F65*G65</f>
        <v/>
      </c>
      <c r="I65" s="18" t="n">
        <v>0.3</v>
      </c>
      <c r="J65" s="17">
        <f>H65*I65</f>
        <v/>
      </c>
    </row>
    <row r="66">
      <c r="A66" t="inlineStr">
        <is>
          <t>TXN-1065</t>
        </is>
      </c>
      <c r="B66" s="15" t="n">
        <v>45190</v>
      </c>
      <c r="C66" t="inlineStr">
        <is>
          <t>Brooks Vance</t>
        </is>
      </c>
      <c r="D66" t="inlineStr">
        <is>
          <t>Hardware Node</t>
        </is>
      </c>
      <c r="E66" t="inlineStr">
        <is>
          <t>North</t>
        </is>
      </c>
      <c r="F66" s="16" t="n">
        <v>20</v>
      </c>
      <c r="G66" s="17" t="n">
        <v>500</v>
      </c>
      <c r="H66" s="17">
        <f>F66*G66</f>
        <v/>
      </c>
      <c r="I66" s="18" t="n">
        <v>0.25</v>
      </c>
      <c r="J66" s="17">
        <f>H66*I66</f>
        <v/>
      </c>
    </row>
    <row r="67">
      <c r="A67" t="inlineStr">
        <is>
          <t>TXN-1066</t>
        </is>
      </c>
      <c r="B67" s="15" t="n">
        <v>45028</v>
      </c>
      <c r="C67" t="inlineStr">
        <is>
          <t>Cecilia Manning</t>
        </is>
      </c>
      <c r="D67" t="inlineStr">
        <is>
          <t>Enterprise Suite</t>
        </is>
      </c>
      <c r="E67" t="inlineStr">
        <is>
          <t>North</t>
        </is>
      </c>
      <c r="F67" s="16" t="n">
        <v>20</v>
      </c>
      <c r="G67" s="17" t="n">
        <v>1200</v>
      </c>
      <c r="H67" s="17">
        <f>F67*G67</f>
        <v/>
      </c>
      <c r="I67" s="18" t="n">
        <v>0.2</v>
      </c>
      <c r="J67" s="17">
        <f>H67*I67</f>
        <v/>
      </c>
    </row>
    <row r="68">
      <c r="A68" t="inlineStr">
        <is>
          <t>TXN-1067</t>
        </is>
      </c>
      <c r="B68" s="15" t="n">
        <v>45160</v>
      </c>
      <c r="C68" t="inlineStr">
        <is>
          <t>Albert Cook</t>
        </is>
      </c>
      <c r="D68" t="inlineStr">
        <is>
          <t>Pro Cloud Plan</t>
        </is>
      </c>
      <c r="E68" t="inlineStr">
        <is>
          <t>West</t>
        </is>
      </c>
      <c r="F68" s="16" t="n">
        <v>36</v>
      </c>
      <c r="G68" s="17" t="n">
        <v>1200</v>
      </c>
      <c r="H68" s="17">
        <f>F68*G68</f>
        <v/>
      </c>
      <c r="I68" s="18" t="n">
        <v>0.25</v>
      </c>
      <c r="J68" s="17">
        <f>H68*I68</f>
        <v/>
      </c>
    </row>
    <row r="69">
      <c r="A69" t="inlineStr">
        <is>
          <t>TXN-1068</t>
        </is>
      </c>
      <c r="B69" s="15" t="n">
        <v>45002</v>
      </c>
      <c r="C69" t="inlineStr">
        <is>
          <t>Isabel Cross</t>
        </is>
      </c>
      <c r="D69" t="inlineStr">
        <is>
          <t>Enterprise Suite</t>
        </is>
      </c>
      <c r="E69" t="inlineStr">
        <is>
          <t>West</t>
        </is>
      </c>
      <c r="F69" s="16" t="n">
        <v>19</v>
      </c>
      <c r="G69" s="17" t="n">
        <v>300</v>
      </c>
      <c r="H69" s="17">
        <f>F69*G69</f>
        <v/>
      </c>
      <c r="I69" s="18" t="n">
        <v>0.35</v>
      </c>
      <c r="J69" s="17">
        <f>H69*I69</f>
        <v/>
      </c>
    </row>
    <row r="70">
      <c r="A70" t="inlineStr">
        <is>
          <t>TXN-1069</t>
        </is>
      </c>
      <c r="B70" s="15" t="n">
        <v>44952</v>
      </c>
      <c r="C70" t="inlineStr">
        <is>
          <t>Brooks Vance</t>
        </is>
      </c>
      <c r="D70" t="inlineStr">
        <is>
          <t>Pro Cloud Plan</t>
        </is>
      </c>
      <c r="E70" t="inlineStr">
        <is>
          <t>North</t>
        </is>
      </c>
      <c r="F70" s="16" t="n">
        <v>34</v>
      </c>
      <c r="G70" s="17" t="n">
        <v>300</v>
      </c>
      <c r="H70" s="17">
        <f>F70*G70</f>
        <v/>
      </c>
      <c r="I70" s="18" t="n">
        <v>0.35</v>
      </c>
      <c r="J70" s="17">
        <f>H70*I70</f>
        <v/>
      </c>
    </row>
    <row r="71">
      <c r="A71" t="inlineStr">
        <is>
          <t>TXN-1070</t>
        </is>
      </c>
      <c r="B71" s="15" t="n">
        <v>45268</v>
      </c>
      <c r="C71" t="inlineStr">
        <is>
          <t>Brooks Vance</t>
        </is>
      </c>
      <c r="D71" t="inlineStr">
        <is>
          <t>Hardware Node</t>
        </is>
      </c>
      <c r="E71" t="inlineStr">
        <is>
          <t>West</t>
        </is>
      </c>
      <c r="F71" s="16" t="n">
        <v>44</v>
      </c>
      <c r="G71" s="17" t="n">
        <v>1200</v>
      </c>
      <c r="H71" s="17">
        <f>F71*G71</f>
        <v/>
      </c>
      <c r="I71" s="18" t="n">
        <v>0.35</v>
      </c>
      <c r="J71" s="17">
        <f>H71*I71</f>
        <v/>
      </c>
    </row>
    <row r="72">
      <c r="A72" t="inlineStr">
        <is>
          <t>TXN-1071</t>
        </is>
      </c>
      <c r="B72" s="15" t="n">
        <v>45008</v>
      </c>
      <c r="C72" t="inlineStr">
        <is>
          <t>Albert Cook</t>
        </is>
      </c>
      <c r="D72" t="inlineStr">
        <is>
          <t>Consulting Package</t>
        </is>
      </c>
      <c r="E72" t="inlineStr">
        <is>
          <t>East</t>
        </is>
      </c>
      <c r="F72" s="16" t="n">
        <v>20</v>
      </c>
      <c r="G72" s="17" t="n">
        <v>500</v>
      </c>
      <c r="H72" s="17">
        <f>F72*G72</f>
        <v/>
      </c>
      <c r="I72" s="18" t="n">
        <v>0.35</v>
      </c>
      <c r="J72" s="17">
        <f>H72*I72</f>
        <v/>
      </c>
    </row>
    <row r="73">
      <c r="A73" t="inlineStr">
        <is>
          <t>TXN-1072</t>
        </is>
      </c>
      <c r="B73" s="15" t="n">
        <v>45247</v>
      </c>
      <c r="C73" t="inlineStr">
        <is>
          <t>Cecilia Manning</t>
        </is>
      </c>
      <c r="D73" t="inlineStr">
        <is>
          <t>Hardware Node</t>
        </is>
      </c>
      <c r="E73" t="inlineStr">
        <is>
          <t>West</t>
        </is>
      </c>
      <c r="F73" s="16" t="n">
        <v>9</v>
      </c>
      <c r="G73" s="17" t="n">
        <v>500</v>
      </c>
      <c r="H73" s="17">
        <f>F73*G73</f>
        <v/>
      </c>
      <c r="I73" s="18" t="n">
        <v>0.25</v>
      </c>
      <c r="J73" s="17">
        <f>H73*I73</f>
        <v/>
      </c>
    </row>
    <row r="74">
      <c r="A74" t="inlineStr">
        <is>
          <t>TXN-1073</t>
        </is>
      </c>
      <c r="B74" s="15" t="n">
        <v>45066</v>
      </c>
      <c r="C74" t="inlineStr">
        <is>
          <t>Shari Silva</t>
        </is>
      </c>
      <c r="D74" t="inlineStr">
        <is>
          <t>Hardware Node</t>
        </is>
      </c>
      <c r="E74" t="inlineStr">
        <is>
          <t>North</t>
        </is>
      </c>
      <c r="F74" s="16" t="n">
        <v>13</v>
      </c>
      <c r="G74" s="17" t="n">
        <v>300</v>
      </c>
      <c r="H74" s="17">
        <f>F74*G74</f>
        <v/>
      </c>
      <c r="I74" s="18" t="n">
        <v>0.25</v>
      </c>
      <c r="J74" s="17">
        <f>H74*I74</f>
        <v/>
      </c>
    </row>
    <row r="75">
      <c r="A75" t="inlineStr">
        <is>
          <t>TXN-1074</t>
        </is>
      </c>
      <c r="B75" s="15" t="n">
        <v>45123</v>
      </c>
      <c r="C75" t="inlineStr">
        <is>
          <t>Cecilia Manning</t>
        </is>
      </c>
      <c r="D75" t="inlineStr">
        <is>
          <t>Pro Cloud Plan</t>
        </is>
      </c>
      <c r="E75" t="inlineStr">
        <is>
          <t>North</t>
        </is>
      </c>
      <c r="F75" s="16" t="n">
        <v>31</v>
      </c>
      <c r="G75" s="17" t="n">
        <v>1200</v>
      </c>
      <c r="H75" s="17">
        <f>F75*G75</f>
        <v/>
      </c>
      <c r="I75" s="18" t="n">
        <v>0.3</v>
      </c>
      <c r="J75" s="17">
        <f>H75*I75</f>
        <v/>
      </c>
    </row>
    <row r="76">
      <c r="A76" t="inlineStr">
        <is>
          <t>TXN-1075</t>
        </is>
      </c>
      <c r="B76" s="15" t="n">
        <v>45204</v>
      </c>
      <c r="C76" t="inlineStr">
        <is>
          <t>Albert Cook</t>
        </is>
      </c>
      <c r="D76" t="inlineStr">
        <is>
          <t>Consulting Package</t>
        </is>
      </c>
      <c r="E76" t="inlineStr">
        <is>
          <t>North</t>
        </is>
      </c>
      <c r="F76" s="16" t="n">
        <v>18</v>
      </c>
      <c r="G76" s="17" t="n">
        <v>1200</v>
      </c>
      <c r="H76" s="17">
        <f>F76*G76</f>
        <v/>
      </c>
      <c r="I76" s="18" t="n">
        <v>0.35</v>
      </c>
      <c r="J76" s="17">
        <f>H76*I76</f>
        <v/>
      </c>
    </row>
    <row r="77">
      <c r="A77" t="inlineStr">
        <is>
          <t>TXN-1076</t>
        </is>
      </c>
      <c r="B77" s="15" t="n">
        <v>45226</v>
      </c>
      <c r="C77" t="inlineStr">
        <is>
          <t>Isabel Cross</t>
        </is>
      </c>
      <c r="D77" t="inlineStr">
        <is>
          <t>Consulting Package</t>
        </is>
      </c>
      <c r="E77" t="inlineStr">
        <is>
          <t>West</t>
        </is>
      </c>
      <c r="F77" s="16" t="n">
        <v>5</v>
      </c>
      <c r="G77" s="17" t="n">
        <v>500</v>
      </c>
      <c r="H77" s="17">
        <f>F77*G77</f>
        <v/>
      </c>
      <c r="I77" s="18" t="n">
        <v>0.3</v>
      </c>
      <c r="J77" s="17">
        <f>H77*I77</f>
        <v/>
      </c>
    </row>
    <row r="78">
      <c r="A78" t="inlineStr">
        <is>
          <t>TXN-1077</t>
        </is>
      </c>
      <c r="B78" s="15" t="n">
        <v>45126</v>
      </c>
      <c r="C78" t="inlineStr">
        <is>
          <t>Albert Cook</t>
        </is>
      </c>
      <c r="D78" t="inlineStr">
        <is>
          <t>Pro Cloud Plan</t>
        </is>
      </c>
      <c r="E78" t="inlineStr">
        <is>
          <t>West</t>
        </is>
      </c>
      <c r="F78" s="16" t="n">
        <v>19</v>
      </c>
      <c r="G78" s="17" t="n">
        <v>500</v>
      </c>
      <c r="H78" s="17">
        <f>F78*G78</f>
        <v/>
      </c>
      <c r="I78" s="18" t="n">
        <v>0.35</v>
      </c>
      <c r="J78" s="17">
        <f>H78*I78</f>
        <v/>
      </c>
    </row>
    <row r="79">
      <c r="A79" t="inlineStr">
        <is>
          <t>TXN-1078</t>
        </is>
      </c>
      <c r="B79" s="15" t="n">
        <v>45175</v>
      </c>
      <c r="C79" t="inlineStr">
        <is>
          <t>Isabel Cross</t>
        </is>
      </c>
      <c r="D79" t="inlineStr">
        <is>
          <t>Consulting Package</t>
        </is>
      </c>
      <c r="E79" t="inlineStr">
        <is>
          <t>East</t>
        </is>
      </c>
      <c r="F79" s="16" t="n">
        <v>47</v>
      </c>
      <c r="G79" s="17" t="n">
        <v>1200</v>
      </c>
      <c r="H79" s="17">
        <f>F79*G79</f>
        <v/>
      </c>
      <c r="I79" s="18" t="n">
        <v>0.25</v>
      </c>
      <c r="J79" s="17">
        <f>H79*I79</f>
        <v/>
      </c>
    </row>
    <row r="80">
      <c r="A80" t="inlineStr">
        <is>
          <t>TXN-1079</t>
        </is>
      </c>
      <c r="B80" s="15" t="n">
        <v>45166</v>
      </c>
      <c r="C80" t="inlineStr">
        <is>
          <t>Cecilia Manning</t>
        </is>
      </c>
      <c r="D80" t="inlineStr">
        <is>
          <t>Enterprise Suite</t>
        </is>
      </c>
      <c r="E80" t="inlineStr">
        <is>
          <t>West</t>
        </is>
      </c>
      <c r="F80" s="16" t="n">
        <v>42</v>
      </c>
      <c r="G80" s="17" t="n">
        <v>150</v>
      </c>
      <c r="H80" s="17">
        <f>F80*G80</f>
        <v/>
      </c>
      <c r="I80" s="18" t="n">
        <v>0.2</v>
      </c>
      <c r="J80" s="17">
        <f>H80*I80</f>
        <v/>
      </c>
    </row>
    <row r="81">
      <c r="A81" t="inlineStr">
        <is>
          <t>TXN-1080</t>
        </is>
      </c>
      <c r="B81" s="15" t="n">
        <v>45256</v>
      </c>
      <c r="C81" t="inlineStr">
        <is>
          <t>Albert Cook</t>
        </is>
      </c>
      <c r="D81" t="inlineStr">
        <is>
          <t>Pro Cloud Plan</t>
        </is>
      </c>
      <c r="E81" t="inlineStr">
        <is>
          <t>West</t>
        </is>
      </c>
      <c r="F81" s="16" t="n">
        <v>16</v>
      </c>
      <c r="G81" s="17" t="n">
        <v>150</v>
      </c>
      <c r="H81" s="17">
        <f>F81*G81</f>
        <v/>
      </c>
      <c r="I81" s="18" t="n">
        <v>0.3</v>
      </c>
      <c r="J81" s="17">
        <f>H81*I81</f>
        <v/>
      </c>
    </row>
    <row r="82">
      <c r="A82" t="inlineStr">
        <is>
          <t>TXN-1081</t>
        </is>
      </c>
      <c r="B82" s="15" t="n">
        <v>45121</v>
      </c>
      <c r="C82" t="inlineStr">
        <is>
          <t>Shari Silva</t>
        </is>
      </c>
      <c r="D82" t="inlineStr">
        <is>
          <t>Pro Cloud Plan</t>
        </is>
      </c>
      <c r="E82" t="inlineStr">
        <is>
          <t>West</t>
        </is>
      </c>
      <c r="F82" s="16" t="n">
        <v>25</v>
      </c>
      <c r="G82" s="17" t="n">
        <v>500</v>
      </c>
      <c r="H82" s="17">
        <f>F82*G82</f>
        <v/>
      </c>
      <c r="I82" s="18" t="n">
        <v>0.35</v>
      </c>
      <c r="J82" s="17">
        <f>H82*I82</f>
        <v/>
      </c>
    </row>
    <row r="83">
      <c r="A83" t="inlineStr">
        <is>
          <t>TXN-1082</t>
        </is>
      </c>
      <c r="B83" s="15" t="n">
        <v>45069</v>
      </c>
      <c r="C83" t="inlineStr">
        <is>
          <t>Albert Cook</t>
        </is>
      </c>
      <c r="D83" t="inlineStr">
        <is>
          <t>Hardware Node</t>
        </is>
      </c>
      <c r="E83" t="inlineStr">
        <is>
          <t>North</t>
        </is>
      </c>
      <c r="F83" s="16" t="n">
        <v>35</v>
      </c>
      <c r="G83" s="17" t="n">
        <v>150</v>
      </c>
      <c r="H83" s="17">
        <f>F83*G83</f>
        <v/>
      </c>
      <c r="I83" s="18" t="n">
        <v>0.2</v>
      </c>
      <c r="J83" s="17">
        <f>H83*I83</f>
        <v/>
      </c>
    </row>
    <row r="84">
      <c r="A84" t="inlineStr">
        <is>
          <t>TXN-1083</t>
        </is>
      </c>
      <c r="B84" s="15" t="n">
        <v>45106</v>
      </c>
      <c r="C84" t="inlineStr">
        <is>
          <t>Cecilia Manning</t>
        </is>
      </c>
      <c r="D84" t="inlineStr">
        <is>
          <t>Enterprise Suite</t>
        </is>
      </c>
      <c r="E84" t="inlineStr">
        <is>
          <t>North</t>
        </is>
      </c>
      <c r="F84" s="16" t="n">
        <v>6</v>
      </c>
      <c r="G84" s="17" t="n">
        <v>300</v>
      </c>
      <c r="H84" s="17">
        <f>F84*G84</f>
        <v/>
      </c>
      <c r="I84" s="18" t="n">
        <v>0.25</v>
      </c>
      <c r="J84" s="17">
        <f>H84*I84</f>
        <v/>
      </c>
    </row>
    <row r="85">
      <c r="A85" t="inlineStr">
        <is>
          <t>TXN-1084</t>
        </is>
      </c>
      <c r="B85" s="15" t="n">
        <v>44937</v>
      </c>
      <c r="C85" t="inlineStr">
        <is>
          <t>Brooks Vance</t>
        </is>
      </c>
      <c r="D85" t="inlineStr">
        <is>
          <t>Pro Cloud Plan</t>
        </is>
      </c>
      <c r="E85" t="inlineStr">
        <is>
          <t>South</t>
        </is>
      </c>
      <c r="F85" s="16" t="n">
        <v>13</v>
      </c>
      <c r="G85" s="17" t="n">
        <v>1200</v>
      </c>
      <c r="H85" s="17">
        <f>F85*G85</f>
        <v/>
      </c>
      <c r="I85" s="18" t="n">
        <v>0.2</v>
      </c>
      <c r="J85" s="17">
        <f>H85*I85</f>
        <v/>
      </c>
    </row>
    <row r="86">
      <c r="A86" t="inlineStr">
        <is>
          <t>TXN-1085</t>
        </is>
      </c>
      <c r="B86" s="15" t="n">
        <v>45215</v>
      </c>
      <c r="C86" t="inlineStr">
        <is>
          <t>Cecilia Manning</t>
        </is>
      </c>
      <c r="D86" t="inlineStr">
        <is>
          <t>Consulting Package</t>
        </is>
      </c>
      <c r="E86" t="inlineStr">
        <is>
          <t>East</t>
        </is>
      </c>
      <c r="F86" s="16" t="n">
        <v>28</v>
      </c>
      <c r="G86" s="17" t="n">
        <v>300</v>
      </c>
      <c r="H86" s="17">
        <f>F86*G86</f>
        <v/>
      </c>
      <c r="I86" s="18" t="n">
        <v>0.2</v>
      </c>
      <c r="J86" s="17">
        <f>H86*I86</f>
        <v/>
      </c>
    </row>
    <row r="87">
      <c r="A87" t="inlineStr">
        <is>
          <t>TXN-1086</t>
        </is>
      </c>
      <c r="B87" s="15" t="n">
        <v>45010</v>
      </c>
      <c r="C87" t="inlineStr">
        <is>
          <t>Shari Silva</t>
        </is>
      </c>
      <c r="D87" t="inlineStr">
        <is>
          <t>Enterprise Suite</t>
        </is>
      </c>
      <c r="E87" t="inlineStr">
        <is>
          <t>North</t>
        </is>
      </c>
      <c r="F87" s="16" t="n">
        <v>24</v>
      </c>
      <c r="G87" s="17" t="n">
        <v>1200</v>
      </c>
      <c r="H87" s="17">
        <f>F87*G87</f>
        <v/>
      </c>
      <c r="I87" s="18" t="n">
        <v>0.35</v>
      </c>
      <c r="J87" s="17">
        <f>H87*I87</f>
        <v/>
      </c>
    </row>
    <row r="88">
      <c r="A88" t="inlineStr">
        <is>
          <t>TXN-1087</t>
        </is>
      </c>
      <c r="B88" s="15" t="n">
        <v>45028</v>
      </c>
      <c r="C88" t="inlineStr">
        <is>
          <t>Isabel Cross</t>
        </is>
      </c>
      <c r="D88" t="inlineStr">
        <is>
          <t>Pro Cloud Plan</t>
        </is>
      </c>
      <c r="E88" t="inlineStr">
        <is>
          <t>North</t>
        </is>
      </c>
      <c r="F88" s="16" t="n">
        <v>49</v>
      </c>
      <c r="G88" s="17" t="n">
        <v>500</v>
      </c>
      <c r="H88" s="17">
        <f>F88*G88</f>
        <v/>
      </c>
      <c r="I88" s="18" t="n">
        <v>0.2</v>
      </c>
      <c r="J88" s="17">
        <f>H88*I88</f>
        <v/>
      </c>
    </row>
    <row r="89">
      <c r="A89" t="inlineStr">
        <is>
          <t>TXN-1088</t>
        </is>
      </c>
      <c r="B89" s="15" t="n">
        <v>45216</v>
      </c>
      <c r="C89" t="inlineStr">
        <is>
          <t>Isabel Cross</t>
        </is>
      </c>
      <c r="D89" t="inlineStr">
        <is>
          <t>Hardware Node</t>
        </is>
      </c>
      <c r="E89" t="inlineStr">
        <is>
          <t>West</t>
        </is>
      </c>
      <c r="F89" s="16" t="n">
        <v>47</v>
      </c>
      <c r="G89" s="17" t="n">
        <v>500</v>
      </c>
      <c r="H89" s="17">
        <f>F89*G89</f>
        <v/>
      </c>
      <c r="I89" s="18" t="n">
        <v>0.2</v>
      </c>
      <c r="J89" s="17">
        <f>H89*I89</f>
        <v/>
      </c>
    </row>
    <row r="90">
      <c r="A90" t="inlineStr">
        <is>
          <t>TXN-1089</t>
        </is>
      </c>
      <c r="B90" s="15" t="n">
        <v>45186</v>
      </c>
      <c r="C90" t="inlineStr">
        <is>
          <t>Shari Silva</t>
        </is>
      </c>
      <c r="D90" t="inlineStr">
        <is>
          <t>Enterprise Suite</t>
        </is>
      </c>
      <c r="E90" t="inlineStr">
        <is>
          <t>West</t>
        </is>
      </c>
      <c r="F90" s="16" t="n">
        <v>36</v>
      </c>
      <c r="G90" s="17" t="n">
        <v>150</v>
      </c>
      <c r="H90" s="17">
        <f>F90*G90</f>
        <v/>
      </c>
      <c r="I90" s="18" t="n">
        <v>0.35</v>
      </c>
      <c r="J90" s="17">
        <f>H90*I90</f>
        <v/>
      </c>
    </row>
    <row r="91">
      <c r="A91" t="inlineStr">
        <is>
          <t>TXN-1090</t>
        </is>
      </c>
      <c r="B91" s="15" t="n">
        <v>45112</v>
      </c>
      <c r="C91" t="inlineStr">
        <is>
          <t>Albert Cook</t>
        </is>
      </c>
      <c r="D91" t="inlineStr">
        <is>
          <t>Pro Cloud Plan</t>
        </is>
      </c>
      <c r="E91" t="inlineStr">
        <is>
          <t>West</t>
        </is>
      </c>
      <c r="F91" s="16" t="n">
        <v>16</v>
      </c>
      <c r="G91" s="17" t="n">
        <v>500</v>
      </c>
      <c r="H91" s="17">
        <f>F91*G91</f>
        <v/>
      </c>
      <c r="I91" s="18" t="n">
        <v>0.35</v>
      </c>
      <c r="J91" s="17">
        <f>H91*I91</f>
        <v/>
      </c>
    </row>
    <row r="92">
      <c r="A92" t="inlineStr">
        <is>
          <t>TXN-1091</t>
        </is>
      </c>
      <c r="B92" s="15" t="n">
        <v>45165</v>
      </c>
      <c r="C92" t="inlineStr">
        <is>
          <t>Albert Cook</t>
        </is>
      </c>
      <c r="D92" t="inlineStr">
        <is>
          <t>Hardware Node</t>
        </is>
      </c>
      <c r="E92" t="inlineStr">
        <is>
          <t>East</t>
        </is>
      </c>
      <c r="F92" s="16" t="n">
        <v>20</v>
      </c>
      <c r="G92" s="17" t="n">
        <v>150</v>
      </c>
      <c r="H92" s="17">
        <f>F92*G92</f>
        <v/>
      </c>
      <c r="I92" s="18" t="n">
        <v>0.3</v>
      </c>
      <c r="J92" s="17">
        <f>H92*I92</f>
        <v/>
      </c>
    </row>
    <row r="93">
      <c r="A93" t="inlineStr">
        <is>
          <t>TXN-1092</t>
        </is>
      </c>
      <c r="B93" s="15" t="n">
        <v>45157</v>
      </c>
      <c r="C93" t="inlineStr">
        <is>
          <t>Cecilia Manning</t>
        </is>
      </c>
      <c r="D93" t="inlineStr">
        <is>
          <t>Consulting Package</t>
        </is>
      </c>
      <c r="E93" t="inlineStr">
        <is>
          <t>West</t>
        </is>
      </c>
      <c r="F93" s="16" t="n">
        <v>26</v>
      </c>
      <c r="G93" s="17" t="n">
        <v>150</v>
      </c>
      <c r="H93" s="17">
        <f>F93*G93</f>
        <v/>
      </c>
      <c r="I93" s="18" t="n">
        <v>0.35</v>
      </c>
      <c r="J93" s="17">
        <f>H93*I93</f>
        <v/>
      </c>
    </row>
    <row r="94">
      <c r="A94" t="inlineStr">
        <is>
          <t>TXN-1093</t>
        </is>
      </c>
      <c r="B94" s="15" t="n">
        <v>45093</v>
      </c>
      <c r="C94" t="inlineStr">
        <is>
          <t>Cecilia Manning</t>
        </is>
      </c>
      <c r="D94" t="inlineStr">
        <is>
          <t>Consulting Package</t>
        </is>
      </c>
      <c r="E94" t="inlineStr">
        <is>
          <t>South</t>
        </is>
      </c>
      <c r="F94" s="16" t="n">
        <v>27</v>
      </c>
      <c r="G94" s="17" t="n">
        <v>500</v>
      </c>
      <c r="H94" s="17">
        <f>F94*G94</f>
        <v/>
      </c>
      <c r="I94" s="18" t="n">
        <v>0.3</v>
      </c>
      <c r="J94" s="17">
        <f>H94*I94</f>
        <v/>
      </c>
    </row>
    <row r="95">
      <c r="A95" t="inlineStr">
        <is>
          <t>TXN-1094</t>
        </is>
      </c>
      <c r="B95" s="15" t="n">
        <v>45070</v>
      </c>
      <c r="C95" t="inlineStr">
        <is>
          <t>Brooks Vance</t>
        </is>
      </c>
      <c r="D95" t="inlineStr">
        <is>
          <t>Hardware Node</t>
        </is>
      </c>
      <c r="E95" t="inlineStr">
        <is>
          <t>North</t>
        </is>
      </c>
      <c r="F95" s="16" t="n">
        <v>38</v>
      </c>
      <c r="G95" s="17" t="n">
        <v>300</v>
      </c>
      <c r="H95" s="17">
        <f>F95*G95</f>
        <v/>
      </c>
      <c r="I95" s="18" t="n">
        <v>0.2</v>
      </c>
      <c r="J95" s="17">
        <f>H95*I95</f>
        <v/>
      </c>
    </row>
    <row r="96">
      <c r="A96" t="inlineStr">
        <is>
          <t>TXN-1095</t>
        </is>
      </c>
      <c r="B96" s="15" t="n">
        <v>45050</v>
      </c>
      <c r="C96" t="inlineStr">
        <is>
          <t>Albert Cook</t>
        </is>
      </c>
      <c r="D96" t="inlineStr">
        <is>
          <t>Consulting Package</t>
        </is>
      </c>
      <c r="E96" t="inlineStr">
        <is>
          <t>South</t>
        </is>
      </c>
      <c r="F96" s="16" t="n">
        <v>49</v>
      </c>
      <c r="G96" s="17" t="n">
        <v>1200</v>
      </c>
      <c r="H96" s="17">
        <f>F96*G96</f>
        <v/>
      </c>
      <c r="I96" s="18" t="n">
        <v>0.35</v>
      </c>
      <c r="J96" s="17">
        <f>H96*I96</f>
        <v/>
      </c>
    </row>
    <row r="97">
      <c r="A97" t="inlineStr">
        <is>
          <t>TXN-1096</t>
        </is>
      </c>
      <c r="B97" s="15" t="n">
        <v>45156</v>
      </c>
      <c r="C97" t="inlineStr">
        <is>
          <t>Isabel Cross</t>
        </is>
      </c>
      <c r="D97" t="inlineStr">
        <is>
          <t>Enterprise Suite</t>
        </is>
      </c>
      <c r="E97" t="inlineStr">
        <is>
          <t>East</t>
        </is>
      </c>
      <c r="F97" s="16" t="n">
        <v>19</v>
      </c>
      <c r="G97" s="17" t="n">
        <v>1200</v>
      </c>
      <c r="H97" s="17">
        <f>F97*G97</f>
        <v/>
      </c>
      <c r="I97" s="18" t="n">
        <v>0.25</v>
      </c>
      <c r="J97" s="17">
        <f>H97*I97</f>
        <v/>
      </c>
    </row>
    <row r="98">
      <c r="A98" t="inlineStr">
        <is>
          <t>TXN-1097</t>
        </is>
      </c>
      <c r="B98" s="15" t="n">
        <v>45083</v>
      </c>
      <c r="C98" t="inlineStr">
        <is>
          <t>Brooks Vance</t>
        </is>
      </c>
      <c r="D98" t="inlineStr">
        <is>
          <t>Hardware Node</t>
        </is>
      </c>
      <c r="E98" t="inlineStr">
        <is>
          <t>West</t>
        </is>
      </c>
      <c r="F98" s="16" t="n">
        <v>40</v>
      </c>
      <c r="G98" s="17" t="n">
        <v>500</v>
      </c>
      <c r="H98" s="17">
        <f>F98*G98</f>
        <v/>
      </c>
      <c r="I98" s="18" t="n">
        <v>0.35</v>
      </c>
      <c r="J98" s="17">
        <f>H98*I98</f>
        <v/>
      </c>
    </row>
    <row r="99">
      <c r="A99" t="inlineStr">
        <is>
          <t>TXN-1098</t>
        </is>
      </c>
      <c r="B99" s="15" t="n">
        <v>45208</v>
      </c>
      <c r="C99" t="inlineStr">
        <is>
          <t>Shari Silva</t>
        </is>
      </c>
      <c r="D99" t="inlineStr">
        <is>
          <t>Hardware Node</t>
        </is>
      </c>
      <c r="E99" t="inlineStr">
        <is>
          <t>West</t>
        </is>
      </c>
      <c r="F99" s="16" t="n">
        <v>22</v>
      </c>
      <c r="G99" s="17" t="n">
        <v>500</v>
      </c>
      <c r="H99" s="17">
        <f>F99*G99</f>
        <v/>
      </c>
      <c r="I99" s="18" t="n">
        <v>0.3</v>
      </c>
      <c r="J99" s="17">
        <f>H99*I99</f>
        <v/>
      </c>
    </row>
    <row r="100">
      <c r="A100" t="inlineStr">
        <is>
          <t>TXN-1099</t>
        </is>
      </c>
      <c r="B100" s="15" t="n">
        <v>45045</v>
      </c>
      <c r="C100" t="inlineStr">
        <is>
          <t>Isabel Cross</t>
        </is>
      </c>
      <c r="D100" t="inlineStr">
        <is>
          <t>Pro Cloud Plan</t>
        </is>
      </c>
      <c r="E100" t="inlineStr">
        <is>
          <t>East</t>
        </is>
      </c>
      <c r="F100" s="16" t="n">
        <v>12</v>
      </c>
      <c r="G100" s="17" t="n">
        <v>300</v>
      </c>
      <c r="H100" s="17">
        <f>F100*G100</f>
        <v/>
      </c>
      <c r="I100" s="18" t="n">
        <v>0.25</v>
      </c>
      <c r="J100" s="17">
        <f>H100*I100</f>
        <v/>
      </c>
    </row>
    <row r="101">
      <c r="A101" t="inlineStr">
        <is>
          <t>TXN-1100</t>
        </is>
      </c>
      <c r="B101" s="15" t="n">
        <v>45037</v>
      </c>
      <c r="C101" t="inlineStr">
        <is>
          <t>Albert Cook</t>
        </is>
      </c>
      <c r="D101" t="inlineStr">
        <is>
          <t>Hardware Node</t>
        </is>
      </c>
      <c r="E101" t="inlineStr">
        <is>
          <t>East</t>
        </is>
      </c>
      <c r="F101" s="16" t="n">
        <v>11</v>
      </c>
      <c r="G101" s="17" t="n">
        <v>300</v>
      </c>
      <c r="H101" s="17">
        <f>F101*G101</f>
        <v/>
      </c>
      <c r="I101" s="18" t="n">
        <v>0.3</v>
      </c>
      <c r="J101" s="17">
        <f>H101*I101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7" customWidth="1" min="3" max="3"/>
    <col width="36" customWidth="1" min="4" max="4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Business Formula / Rule</t>
        </is>
      </c>
    </row>
    <row r="2">
      <c r="A2" t="inlineStr">
        <is>
          <t>Transaction_ID</t>
        </is>
      </c>
      <c r="B2" t="inlineStr">
        <is>
          <t>String</t>
        </is>
      </c>
      <c r="C2" t="inlineStr">
        <is>
          <t>Unique identifier for each sales transaction</t>
        </is>
      </c>
      <c r="D2" t="inlineStr">
        <is>
          <t>Format: TXN-XXXX</t>
        </is>
      </c>
    </row>
    <row r="3">
      <c r="A3" t="inlineStr">
        <is>
          <t>Date</t>
        </is>
      </c>
      <c r="B3" t="inlineStr">
        <is>
          <t>Date</t>
        </is>
      </c>
      <c r="C3" t="inlineStr">
        <is>
          <t>Date when transaction occurred in FY2023</t>
        </is>
      </c>
      <c r="D3" t="inlineStr">
        <is>
          <t>YYYY-MM-DD</t>
        </is>
      </c>
    </row>
    <row r="4">
      <c r="A4" t="inlineStr">
        <is>
          <t>Sales_Rep</t>
        </is>
      </c>
      <c r="B4" t="inlineStr">
        <is>
          <t>String</t>
        </is>
      </c>
      <c r="C4" t="inlineStr">
        <is>
          <t>Name of assigned sales representative</t>
        </is>
      </c>
      <c r="D4" t="inlineStr">
        <is>
          <t>Categorical (5 reps)</t>
        </is>
      </c>
    </row>
    <row r="5">
      <c r="A5" t="inlineStr">
        <is>
          <t>Product</t>
        </is>
      </c>
      <c r="B5" t="inlineStr">
        <is>
          <t>String</t>
        </is>
      </c>
      <c r="C5" t="inlineStr">
        <is>
          <t>Product/Service tier purchased</t>
        </is>
      </c>
      <c r="D5" t="inlineStr">
        <is>
          <t>Categorical (4 tiers)</t>
        </is>
      </c>
    </row>
    <row r="6">
      <c r="A6" t="inlineStr">
        <is>
          <t>Region</t>
        </is>
      </c>
      <c r="B6" t="inlineStr">
        <is>
          <t>String</t>
        </is>
      </c>
      <c r="C6" t="inlineStr">
        <is>
          <t>Geographic territory of client</t>
        </is>
      </c>
      <c r="D6" t="inlineStr">
        <is>
          <t>North, South, East, West</t>
        </is>
      </c>
    </row>
    <row r="7">
      <c r="A7" t="inlineStr">
        <is>
          <t>Units_Sold</t>
        </is>
      </c>
      <c r="B7" t="inlineStr">
        <is>
          <t>Integer</t>
        </is>
      </c>
      <c r="C7" t="inlineStr">
        <is>
          <t>Quantity of units/licenses sold</t>
        </is>
      </c>
      <c r="D7" t="inlineStr">
        <is>
          <t>Range: 5 - 50</t>
        </is>
      </c>
    </row>
    <row r="8">
      <c r="A8" t="inlineStr">
        <is>
          <t>Unit_Price</t>
        </is>
      </c>
      <c r="B8" t="inlineStr">
        <is>
          <t>Currency</t>
        </is>
      </c>
      <c r="C8" t="inlineStr">
        <is>
          <t>Unit cost in USD</t>
        </is>
      </c>
      <c r="D8" t="inlineStr">
        <is>
          <t>$150, $300, $500, $1200</t>
        </is>
      </c>
    </row>
    <row r="9">
      <c r="A9" t="inlineStr">
        <is>
          <t>Total_Revenue</t>
        </is>
      </c>
      <c r="B9" t="inlineStr">
        <is>
          <t>Currency</t>
        </is>
      </c>
      <c r="C9" t="inlineStr">
        <is>
          <t>Gross sales value</t>
        </is>
      </c>
      <c r="D9">
        <f> Units_Sold * Unit_Price</f>
        <v/>
      </c>
    </row>
    <row r="10">
      <c r="A10" t="inlineStr">
        <is>
          <t>Profit_Margin_%</t>
        </is>
      </c>
      <c r="B10" t="inlineStr">
        <is>
          <t>Percentage</t>
        </is>
      </c>
      <c r="C10" t="inlineStr">
        <is>
          <t>Net profit margin percentage</t>
        </is>
      </c>
      <c r="D10" t="inlineStr">
        <is>
          <t>Range: 20.0% - 35.0%</t>
        </is>
      </c>
    </row>
    <row r="11">
      <c r="A11" t="inlineStr">
        <is>
          <t>Net_Profit</t>
        </is>
      </c>
      <c r="B11" t="inlineStr">
        <is>
          <t>Currency</t>
        </is>
      </c>
      <c r="C11" t="inlineStr">
        <is>
          <t>Net profit generated after COGS</t>
        </is>
      </c>
      <c r="D11">
        <f> Total_Revenue * Profit_Margin_%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2026-10-23T05:01:54Z</dcterms:created>
  <dcterms:modified xsi:type="dcterms:W3CDTF">2026-10-23T05:01:54Z</dcterms:modified>
</cp:coreProperties>
</file>